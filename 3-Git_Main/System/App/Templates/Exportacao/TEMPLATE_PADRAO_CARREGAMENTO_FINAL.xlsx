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X:\00 - SYS\Documentação de Ajustes\"/>
    </mc:Choice>
  </mc:AlternateContent>
  <xr:revisionPtr revIDLastSave="0" documentId="13_ncr:1_{CB4366A8-554A-4DB0-85C3-57C4C42D0415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CARREGAMENTO_CUSTO" sheetId="1" r:id="rId1"/>
    <sheet name="OBRA_01" sheetId="2" r:id="rId2"/>
    <sheet name="RESUMO_VALORES" sheetId="3" r:id="rId3"/>
    <sheet name="_LOGICA_SISTEMA" sheetId="4" state="hidden" r:id="rId4"/>
  </sheets>
  <definedNames>
    <definedName name="_xlnm.Print_Area" localSheetId="0">CARREGAMENTO_CUSTO!$B$2:$N$40</definedName>
    <definedName name="_xlnm.Print_Area" localSheetId="1">OBRA_01!$B$2:$L$42</definedName>
    <definedName name="_xlnm.Print_Area" localSheetId="2">RESUMO_VALORES!$B$2:$M$36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24" i="3" l="1"/>
  <c r="I24" i="3"/>
  <c r="J24" i="3" s="1"/>
  <c r="H24" i="3"/>
  <c r="G24" i="3"/>
  <c r="F2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Carlos Alberto</author>
    <author>tc={BE1D323D-AB27-76B5-50E3-B373A5AA4B27}</author>
  </authors>
  <commentList>
    <comment ref="N4" authorId="0" shapeId="0" xr:uid="{16F9B83E-13E5-40A2-AD04-F5D6A8ED576F}">
      <text>
        <r>
          <rPr>
            <b/>
            <sz val="9"/>
            <color indexed="81"/>
            <rFont val="Segoe UI"/>
            <family val="2"/>
          </rPr>
          <t>Carlos Alberto:</t>
        </r>
        <r>
          <rPr>
            <sz val="9"/>
            <color indexed="81"/>
            <rFont val="Segoe UI"/>
            <family val="2"/>
          </rPr>
          <t xml:space="preserve">
padrão de Data - Hora é exatamente esse da célula</t>
        </r>
      </text>
    </comment>
    <comment ref="F24" authorId="1" shapeId="0" xr:uid="{00000000-0006-0000-0000-000001000000}">
      <text>
        <r>
          <rPr>
            <sz val="11"/>
            <rFont val="Carlito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Regra oficial: total da despesa de equipe = valor unitário × funcionários aplicados × dias aplicados.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Carlos Alberto</author>
  </authors>
  <commentList>
    <comment ref="L4" authorId="0" shapeId="0" xr:uid="{8FE9A1CC-B0DB-4807-8F46-7F73E73666EE}">
      <text>
        <r>
          <rPr>
            <b/>
            <sz val="9"/>
            <color indexed="81"/>
            <rFont val="Segoe UI"/>
            <family val="2"/>
          </rPr>
          <t>Carlos Alberto:</t>
        </r>
        <r>
          <rPr>
            <sz val="9"/>
            <color indexed="81"/>
            <rFont val="Segoe UI"/>
            <family val="2"/>
          </rPr>
          <t xml:space="preserve">
padrão de Data - Hora é exatamente esse da célula</t>
        </r>
      </text>
    </comment>
    <comment ref="D10" authorId="0" shapeId="0" xr:uid="{E849C45C-2061-4142-8D2D-C0B22A595ED9}">
      <text>
        <r>
          <rPr>
            <b/>
            <sz val="9"/>
            <color indexed="81"/>
            <rFont val="Segoe UI"/>
            <family val="2"/>
          </rPr>
          <t>Carlos Alberto:</t>
        </r>
        <r>
          <rPr>
            <sz val="9"/>
            <color indexed="81"/>
            <rFont val="Segoe UI"/>
            <family val="2"/>
          </rPr>
          <t xml:space="preserve">
AQUI FALTOU MESCLAR DA FORMA QUE FIZ
Colocar Linkagem com Google Maps na Célula para Fácil Acesso do Local</t>
        </r>
      </text>
    </comment>
    <comment ref="C13" authorId="0" shapeId="0" xr:uid="{006CC526-2B9D-49A2-8A44-E0184AD10C2F}">
      <text>
        <r>
          <rPr>
            <b/>
            <sz val="9"/>
            <color indexed="81"/>
            <rFont val="Segoe UI"/>
            <family val="2"/>
          </rPr>
          <t>Carlos Alberto:</t>
        </r>
        <r>
          <rPr>
            <sz val="9"/>
            <color indexed="81"/>
            <rFont val="Segoe UI"/>
            <family val="2"/>
          </rPr>
          <t xml:space="preserve">
AS IMAGENS ESTÃO FICANDO RUIM
PRECISO QUE AS IMAGENS FIQUEM ARRUMADAS DENTRO DA CÉLULA DE FORMA</t>
        </r>
      </text>
    </comment>
    <comment ref="D13" authorId="0" shapeId="0" xr:uid="{53E77DF0-A8FF-408D-B656-821C5DEC6A8A}">
      <text>
        <r>
          <rPr>
            <b/>
            <sz val="9"/>
            <color indexed="81"/>
            <rFont val="Segoe UI"/>
            <family val="2"/>
          </rPr>
          <t>Carlos Alberto:</t>
        </r>
        <r>
          <rPr>
            <sz val="9"/>
            <color indexed="81"/>
            <rFont val="Segoe UI"/>
            <family val="2"/>
          </rPr>
          <t xml:space="preserve">
MESCLAGEM CERTA É ESSA
</t>
        </r>
      </text>
    </comment>
    <comment ref="D14" authorId="0" shapeId="0" xr:uid="{31633B1E-5640-44F3-A601-DFE8EA52CFE9}">
      <text>
        <r>
          <rPr>
            <b/>
            <sz val="9"/>
            <color indexed="81"/>
            <rFont val="Segoe UI"/>
            <family val="2"/>
          </rPr>
          <t>Carlos Alberto: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Carlos Alberto</author>
  </authors>
  <commentList>
    <comment ref="K4" authorId="0" shapeId="0" xr:uid="{DE8C16E4-8E28-4D9C-9BB5-DAE1847737C0}">
      <text>
        <r>
          <rPr>
            <b/>
            <sz val="9"/>
            <color indexed="81"/>
            <rFont val="Segoe UI"/>
            <charset val="1"/>
          </rPr>
          <t>Carlos Alberto:</t>
        </r>
        <r>
          <rPr>
            <sz val="9"/>
            <color indexed="81"/>
            <rFont val="Segoe UI"/>
            <charset val="1"/>
          </rPr>
          <t xml:space="preserve">
Carlos Alberto:
padrão de Data - Hora é exatamente esse da célula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<sst xmlns="http://schemas.openxmlformats.org/spreadsheetml/2006/main" count="242" uniqueCount="191">
  <si>
    <t>[ LOGO / EMPRESA ]</t>
  </si>
  <si>
    <t>CARREGAMENTO / CUSTO DA VIAGEM</t>
  </si>
  <si>
    <t>DOCUMENTO</t>
  </si>
  <si>
    <t>CRG-000001</t>
  </si>
  <si>
    <t>REV.</t>
  </si>
  <si>
    <t>2026-08-13T11:49:12-03:00</t>
  </si>
  <si>
    <t>INFORMAÇÕES DO CARREGAMENTO</t>
  </si>
  <si>
    <t>ORIGEM</t>
  </si>
  <si>
    <t>FÁBRICA / ORIGEM</t>
  </si>
  <si>
    <t>DATA SAÍDA</t>
  </si>
  <si>
    <t>2026-08-13</t>
  </si>
  <si>
    <t>RETORNO PREV.</t>
  </si>
  <si>
    <t>—</t>
  </si>
  <si>
    <t>VEÍCULO</t>
  </si>
  <si>
    <t>NÃO INFORMADO</t>
  </si>
  <si>
    <t>PLACA</t>
  </si>
  <si>
    <t>AAA123</t>
  </si>
  <si>
    <t>MOTORISTA</t>
  </si>
  <si>
    <t>LUIS CLAUDIO</t>
  </si>
  <si>
    <t>EQUIPE</t>
  </si>
  <si>
    <t>4 funcionário(s)</t>
  </si>
  <si>
    <t>DIAS</t>
  </si>
  <si>
    <t>DISTÂNCIA</t>
  </si>
  <si>
    <t>3600.00 km</t>
  </si>
  <si>
    <t>ROTA / DESTINOS</t>
  </si>
  <si>
    <t>CUIABÁ / RJ</t>
  </si>
  <si>
    <t>OBSERVAÇÕES</t>
  </si>
  <si>
    <t>SEM OBSERVAÇÕES.</t>
  </si>
  <si>
    <t>OBRAS INCLUÍDAS NO CARREGAMENTO</t>
  </si>
  <si>
    <t>#</t>
  </si>
  <si>
    <t>O.P.</t>
  </si>
  <si>
    <t>OBRA</t>
  </si>
  <si>
    <t>MUNICÍPIO / UF</t>
  </si>
  <si>
    <t>GEOLOCALIZAÇÃO</t>
  </si>
  <si>
    <t>VALOR DA OBRA</t>
  </si>
  <si>
    <t>ENTREGA PREV.</t>
  </si>
  <si>
    <t>OBS.</t>
  </si>
  <si>
    <t>197</t>
  </si>
  <si>
    <t>MÃE BENANIA</t>
  </si>
  <si>
    <t>-15.581583, -56.104912</t>
  </si>
  <si>
    <t>GASTO COM EQUIPE</t>
  </si>
  <si>
    <t>CUSTO DE FRETE / VIAGEM</t>
  </si>
  <si>
    <t>DESPESA</t>
  </si>
  <si>
    <t>VALOR UNIT.</t>
  </si>
  <si>
    <t>BASE</t>
  </si>
  <si>
    <t>QTD.</t>
  </si>
  <si>
    <t>TOTAL</t>
  </si>
  <si>
    <t>CAFÉ</t>
  </si>
  <si>
    <t>PEDÁGIO</t>
  </si>
  <si>
    <t>JANTAR</t>
  </si>
  <si>
    <t>COMBUSTÍVEL</t>
  </si>
  <si>
    <t>ALMOÇO</t>
  </si>
  <si>
    <t>DIÁRIA</t>
  </si>
  <si>
    <t>PERNOITE</t>
  </si>
  <si>
    <t>HORA EXTRA</t>
  </si>
  <si>
    <t>BONIFICAÇÃO DE VIAGEM</t>
  </si>
  <si>
    <t>OUTRAS DESPESAS</t>
  </si>
  <si>
    <t>TOTAL EQUIPE</t>
  </si>
  <si>
    <t>TOTAL FRETE / VIAGEM</t>
  </si>
  <si>
    <t>RESUMO DO CARREGAMENTO</t>
  </si>
  <si>
    <t>VALOR TOTAL DAS OBRAS</t>
  </si>
  <si>
    <t>% CUSTO VIAGEM</t>
  </si>
  <si>
    <t>CUSTO EQUIPE</t>
  </si>
  <si>
    <t>CUSTO FRETE / VIAGEM</t>
  </si>
  <si>
    <t>CUSTO TOTAL DA VIAGEM</t>
  </si>
  <si>
    <t>CUSTO MÉDIO / OBRA</t>
  </si>
  <si>
    <t>{{OBSERVACOES_FINAIS_CARREGAMENTO}}</t>
  </si>
  <si>
    <t>FICHA INDIVIDUAL DA OBRA</t>
  </si>
  <si>
    <t>IDENTIFICAÇÃO DA OBRA</t>
  </si>
  <si>
    <t>ESTADO / UF</t>
  </si>
  <si>
    <t>RIO DE JANEIRO / RJ</t>
  </si>
  <si>
    <t>MUNICÍPIO</t>
  </si>
  <si>
    <t>CUIABÁ</t>
  </si>
  <si>
    <t>CARREGAMENTO</t>
  </si>
  <si>
    <t>CLIENTE / CONTRATO</t>
  </si>
  <si>
    <t>MATO GROSSO</t>
  </si>
  <si>
    <t>VALOR OBRA</t>
  </si>
  <si>
    <t>ITENS DA OBRA</t>
  </si>
  <si>
    <t>ITEM</t>
  </si>
  <si>
    <t>IMAGEM</t>
  </si>
  <si>
    <t>EQUIPAMENTO / ITEM</t>
  </si>
  <si>
    <t>UNID.</t>
  </si>
  <si>
    <t>SEM IMAGEM</t>
  </si>
  <si>
    <t>1 · CENTRAL MÚLTIPLA
INOX</t>
  </si>
  <si>
    <t>UN</t>
  </si>
  <si>
    <t>2 · ESQUI</t>
  </si>
  <si>
    <t>4 · MULTI</t>
  </si>
  <si>
    <t>TOTAL DE ITENS / QUANTIDADE</t>
  </si>
  <si>
    <t>3 tipo(s)</t>
  </si>
  <si>
    <t>OBSERVAÇÕES DA OBRA</t>
  </si>
  <si>
    <t>RESPONSÁVEL / SOLICITANTE</t>
  </si>
  <si>
    <t>DOCUMENTO GERADO PELO SISTEMA</t>
  </si>
  <si>
    <t>3d75a423717cc5bf51596d60a3ce7e3d96ca9db73bedad875ec72981341d6703</t>
  </si>
  <si>
    <t>RESUMO DE VALORES DO CARREGAMENTO</t>
  </si>
  <si>
    <t>EQUIPE / MONTAGEM</t>
  </si>
  <si>
    <t>FRETE / VIAGEM</t>
  </si>
  <si>
    <t>ROTA</t>
  </si>
  <si>
    <t>VALORES POR OBRA</t>
  </si>
  <si>
    <t>FRETE</t>
  </si>
  <si>
    <t>MONTAGEM</t>
  </si>
  <si>
    <t>CUSTO TOTAL</t>
  </si>
  <si>
    <t>% CUSTO / OBRA</t>
  </si>
  <si>
    <t>SALDO EST.</t>
  </si>
  <si>
    <t>TOTAL GERAL</t>
  </si>
  <si>
    <t>{{OBS_RESUMO}}</t>
  </si>
  <si>
    <t>INDICADORES DO CARREGAMENTO</t>
  </si>
  <si>
    <t>CUSTO TOTAL RATEADO</t>
  </si>
  <si>
    <t>% CUSTO / VALOR OBRAS</t>
  </si>
  <si>
    <t>SALDO ESTIMADO</t>
  </si>
  <si>
    <t>CUSTO VIAGEM NÃO RATEADO</t>
  </si>
  <si>
    <t>CUSTO FINAL CARREGAMENTO</t>
  </si>
  <si>
    <t>{{OBSERVACOES_FINANCEIRAS}}</t>
  </si>
  <si>
    <t>DOCUMENTAÇÃO INTERNA — LÓGICA DO TEMPLATE DE CARREGAMENTO</t>
  </si>
  <si>
    <t>Uso interno do sistema — não é uma aba de saída operacional.</t>
  </si>
  <si>
    <t>CAMPO</t>
  </si>
  <si>
    <t>DEFINIÇÃO</t>
  </si>
  <si>
    <t>Finalidade</t>
  </si>
  <si>
    <t>Registrar a arquitetura básica para geração dos documentos de carregamento.</t>
  </si>
  <si>
    <t>Arquivo mestre</t>
  </si>
  <si>
    <t>1 pasta de trabalho Excel com abas estruturais e lógica de duplicação das obras.</t>
  </si>
  <si>
    <t>Saída Excel</t>
  </si>
  <si>
    <t>Um único arquivo .xlsx contendo todas as obras do carregamento.</t>
  </si>
  <si>
    <t>Saída PDF</t>
  </si>
  <si>
    <t>Documentos exportados individualmente, por tipo e por obra.</t>
  </si>
  <si>
    <t>1. ESTRUTURA DO ARQUIVO EXCEL GERADO</t>
  </si>
  <si>
    <t>ORDEM</t>
  </si>
  <si>
    <t>ABA</t>
  </si>
  <si>
    <t>REGRA</t>
  </si>
  <si>
    <t>CARREGAMENTO_CUSTO</t>
  </si>
  <si>
    <t>Sempre existe exatamente uma. Contém dados gerais do carregamento e custos da viagem.</t>
  </si>
  <si>
    <t>OBRA_01</t>
  </si>
  <si>
    <t>Primeira obra do carregamento. É gerada a partir da aba-modelo OBRA_INDIVIDUAL.</t>
  </si>
  <si>
    <t>OBRA_02 ... OBRA_NN</t>
  </si>
  <si>
    <t>Criar uma aba adicional para cada obra existente no carregamento, sem limite estrutural fixo.</t>
  </si>
  <si>
    <t>RESUMO_VALORES</t>
  </si>
  <si>
    <t>Sempre existe exatamente uma. Consolida os valores e indicadores de todas as obras do carregamento.</t>
  </si>
  <si>
    <t>2. LÓGICA DE GERAÇÃO DAS ABAS DE OBRA</t>
  </si>
  <si>
    <t>ETAPA</t>
  </si>
  <si>
    <t>AÇÃO</t>
  </si>
  <si>
    <t>O sistema recebe a lista de obras vinculadas ao carregamento.</t>
  </si>
  <si>
    <t>Conta a quantidade real de obras: N.</t>
  </si>
  <si>
    <t>Usa OBRA_INDIVIDUAL como matriz estrutural e visual.</t>
  </si>
  <si>
    <t>Duplica a matriz N vezes e renomeia sequencialmente: OBRA_01, OBRA_02, ... OBRA_NN.</t>
  </si>
  <si>
    <t>Preenche cada aba com os dados exclusivos da respectiva obra.</t>
  </si>
  <si>
    <t>Os itens de cada obra recebem NOME, IMAGEM, QUANTIDADE e demais dados diretamente do sistema.</t>
  </si>
  <si>
    <t>Na saída final gerada para o usuário, a matriz OBRA_INDIVIDUAL não deve permanecer como obra adicional; ela é apenas o modelo-base.</t>
  </si>
  <si>
    <t>3. VÍNCULO ENTRE AS ABAS</t>
  </si>
  <si>
    <t>DESTINO</t>
  </si>
  <si>
    <t>FUNÇÃO</t>
  </si>
  <si>
    <t>OBRA_XX</t>
  </si>
  <si>
    <t>Fornece a identificação comum do carregamento e informações gerais aplicáveis às obras.</t>
  </si>
  <si>
    <t>OBRA_01 ... OBRA_NN</t>
  </si>
  <si>
    <t>Fornece os valores individuais de cada obra para consolidação.</t>
  </si>
  <si>
    <t>Fornece custos gerais da viagem/carregamento para os indicadores consolidados.</t>
  </si>
  <si>
    <t>4. REGRA DE EXPORTAÇÃO</t>
  </si>
  <si>
    <t>FORMATO</t>
  </si>
  <si>
    <t>COMPORTAMENTO</t>
  </si>
  <si>
    <t>Excel (.xlsx)</t>
  </si>
  <si>
    <t>Gerar uma única pasta de trabalho contendo CARREGAMENTO_CUSTO + uma aba para cada OBRA + RESUMO_VALORES.</t>
  </si>
  <si>
    <t>PDF — Carregamento</t>
  </si>
  <si>
    <t>Exportar CARREGAMENTO_CUSTO como documento individual.</t>
  </si>
  <si>
    <t>PDF — Obras</t>
  </si>
  <si>
    <t>Exportar cada OBRA_XX como PDF individual. Se houver 5 obras, serão 5 PDFs de obra.</t>
  </si>
  <si>
    <t>PDF — Resumo</t>
  </si>
  <si>
    <t>Exportar RESUMO_VALORES como documento individual.</t>
  </si>
  <si>
    <t>5. REGRAS ESTRUTURAIS IMPORTANTES</t>
  </si>
  <si>
    <t>DESCRIÇÃO</t>
  </si>
  <si>
    <t>Quantidade de obras</t>
  </si>
  <si>
    <t>Dinâmica. O número de abas OBRA_XX deve ser igual ao número real de obras do carregamento.</t>
  </si>
  <si>
    <t>Sequência das obras</t>
  </si>
  <si>
    <t>Manter numeração crescente com dois dígitos sempre que possível: OBRA_01, OBRA_02, OBRA_03...</t>
  </si>
  <si>
    <t>Itens das obras</t>
  </si>
  <si>
    <t>A estrutura visual é do template; nomes, imagens, quantidades inteiras (1 a 1000) e demais informações são inseridos pelo sistema.</t>
  </si>
  <si>
    <t>Resumo</t>
  </si>
  <si>
    <t>Consolida todas as obras geradas, com rateio separado de equipe e frete pelo valor das obras; o último destino absorve o ajuste de centavos.</t>
  </si>
  <si>
    <t>Template mestre</t>
  </si>
  <si>
    <t>Permanece oculta e registra versão, revisão, hash do template, hash do conteúdo, usuário, estação e timestamp. Não é exportada para PDF.</t>
  </si>
  <si>
    <t>Revisão do template: V1.008 — fórmula de equipe = valor unitário × funcionários × dias; saídas e metadados validados pelo sistema.</t>
  </si>
  <si>
    <t>METADADOS DA GERAÇÃO MAIS RECENTE</t>
  </si>
  <si>
    <t>VERSÃO</t>
  </si>
  <si>
    <t>V1.016</t>
  </si>
  <si>
    <t>REVISÃO</t>
  </si>
  <si>
    <t>TEMPLATE_SHA256</t>
  </si>
  <si>
    <t>95c7bb77a3b55a59205d12fbdcaad611bd8e2327f9b6c66be6fe5475943b2a92</t>
  </si>
  <si>
    <t>CONTEÚDO_SHA256</t>
  </si>
  <si>
    <t>USUÁRIO</t>
  </si>
  <si>
    <t>ADMIN</t>
  </si>
  <si>
    <t>ESTAÇÃO</t>
  </si>
  <si>
    <t>EST-8B65CE93382C</t>
  </si>
  <si>
    <t>TIMESTAMP</t>
  </si>
  <si>
    <t>13/08/2026 - 11:50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</si>
</sst>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19">
    <font>
      <sz val="11"/>
      <name val="Carlito"/>
    </font>
    <font>
      <b/>
      <sz val="10"/>
      <color rgb="FF44546A"/>
      <name val="Carlito"/>
    </font>
    <font>
      <b/>
      <sz val="17"/>
      <color rgb="FFFFFFFF"/>
      <name val="Carlito"/>
    </font>
    <font>
      <b/>
      <sz val="9"/>
      <color rgb="FF1F2933"/>
      <name val="Carlito"/>
    </font>
    <font>
      <sz val="9"/>
      <color rgb="FF1F2933"/>
      <name val="Carlito"/>
    </font>
    <font>
      <b/>
      <sz val="11"/>
      <color rgb="FF1F2933"/>
      <name val="Carlito"/>
    </font>
    <font>
      <b/>
      <sz val="10"/>
      <color rgb="FF1F2933"/>
      <name val="Carlito"/>
    </font>
    <font>
      <i/>
      <sz val="9"/>
      <color rgb="FF64748B"/>
      <name val="Carlito"/>
    </font>
    <font>
      <b/>
      <sz val="14"/>
      <color rgb="FF1F2933"/>
      <name val="Carlito"/>
    </font>
    <font>
      <b/>
      <sz val="14"/>
      <color rgb="FFFFFFFF"/>
      <name val="Carlito"/>
    </font>
    <font>
      <i/>
      <sz val="11"/>
      <color rgb="FF1F1F1F"/>
      <name val="Carlito"/>
    </font>
    <font>
      <b/>
      <sz val="11"/>
      <color rgb="FFFFFFFF"/>
      <name val="Carlito"/>
    </font>
    <font>
      <b/>
      <sz val="11"/>
      <name val="Carlito"/>
    </font>
    <font>
      <b/>
      <sz val="11"/>
      <color rgb="FF1F1F1F"/>
      <name val="Carlito"/>
    </font>
    <font>
      <i/>
      <sz val="11"/>
      <name val="Carlito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5">
    <fill>
      <patternFill patternType="none"/>
    </fill>
    <fill>
      <patternFill patternType="gray125"/>
    </fill>
    <fill>
      <patternFill patternType="solid">
        <fgColor rgb="FFF4F6F8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E7EAED"/>
      </patternFill>
    </fill>
    <fill>
      <patternFill patternType="solid">
        <fgColor rgb="FFB9DDEB"/>
      </patternFill>
    </fill>
    <fill>
      <patternFill patternType="solid">
        <fgColor rgb="FFFFF2B2"/>
      </patternFill>
    </fill>
    <fill>
      <patternFill patternType="solid">
        <fgColor rgb="FFD9EAD3"/>
      </patternFill>
    </fill>
    <fill>
      <patternFill patternType="solid">
        <fgColor rgb="FFF4F6F8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E7EAED"/>
      </patternFill>
    </fill>
    <fill>
      <patternFill patternType="solid">
        <fgColor rgb="FFB9DDEB"/>
      </patternFill>
    </fill>
    <fill>
      <patternFill patternType="solid">
        <fgColor rgb="FFFFF2B2"/>
      </patternFill>
    </fill>
    <fill>
      <patternFill patternType="solid">
        <fgColor rgb="FFD9EAD3"/>
      </patternFill>
    </fill>
    <fill>
      <patternFill patternType="solid">
        <fgColor rgb="FFF6C6A8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EAF2F8"/>
      </patternFill>
    </fill>
    <fill>
      <patternFill patternType="solid">
        <fgColor rgb="FFD9E1F2"/>
      </patternFill>
    </fill>
    <fill>
      <patternFill patternType="solid">
        <fgColor rgb="FFFFF2CC"/>
      </patternFill>
    </fill>
  </fills>
  <borders count="33">
    <border>
      <left/>
      <right/>
      <top/>
      <bottom/>
      <diagonal/>
    </border>
    <border>
      <left style="thin">
        <color rgb="FFAAB4BE"/>
      </left>
      <right style="thin">
        <color rgb="FFAAB4BE"/>
      </right>
      <top style="thin">
        <color rgb="FFAAB4BE"/>
      </top>
      <bottom style="thin">
        <color rgb="FFAAB4BE"/>
      </bottom>
      <diagonal/>
    </border>
    <border>
      <left/>
      <right/>
      <top/>
      <bottom/>
      <diagonal/>
    </border>
    <border>
      <left style="thin">
        <color rgb="FFAAB4BE"/>
      </left>
      <right style="thin">
        <color rgb="FFAAB4BE"/>
      </right>
      <top style="thin">
        <color rgb="FFAAB4BE"/>
      </top>
      <bottom style="thin">
        <color rgb="FFAAB4BE"/>
      </bottom>
      <diagonal/>
    </border>
    <border>
      <left style="thin">
        <color rgb="FFAAB4BE"/>
      </left>
      <right/>
      <top style="thin">
        <color rgb="FFAAB4BE"/>
      </top>
      <bottom style="thin">
        <color rgb="FFAAB4BE"/>
      </bottom>
      <diagonal/>
    </border>
    <border>
      <left/>
      <right style="thin">
        <color rgb="FFAAB4BE"/>
      </right>
      <top style="thin">
        <color rgb="FFAAB4BE"/>
      </top>
      <bottom style="thin">
        <color rgb="FFAAB4BE"/>
      </bottom>
      <diagonal/>
    </border>
    <border>
      <left style="thin">
        <color rgb="FFAAB4BE"/>
      </left>
      <right/>
      <top style="thin">
        <color rgb="FFAAB4BE"/>
      </top>
      <bottom style="thin">
        <color rgb="FFAAB4BE"/>
      </bottom>
      <diagonal/>
    </border>
    <border>
      <left/>
      <right style="thin">
        <color rgb="FFAAB4BE"/>
      </right>
      <top style="thin">
        <color rgb="FFAAB4BE"/>
      </top>
      <bottom style="thin">
        <color rgb="FFAAB4BE"/>
      </bottom>
      <diagonal/>
    </border>
    <border>
      <left/>
      <right/>
      <top style="thin">
        <color rgb="FFAAB4BE"/>
      </top>
      <bottom style="thin">
        <color rgb="FFAAB4BE"/>
      </bottom>
      <diagonal/>
    </border>
    <border>
      <left/>
      <right/>
      <top style="thin">
        <color rgb="FFAAB4BE"/>
      </top>
      <bottom style="thin">
        <color rgb="FFAAB4BE"/>
      </bottom>
      <diagonal/>
    </border>
    <border>
      <left style="thin">
        <color rgb="FFA6A6A6"/>
      </left>
      <right/>
      <top style="thin">
        <color rgb="FFA6A6A6"/>
      </top>
      <bottom/>
      <diagonal/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/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AAB4BE"/>
      </top>
      <bottom/>
      <diagonal/>
    </border>
    <border>
      <left/>
      <right style="thin">
        <color rgb="FFAAB4BE"/>
      </right>
      <top style="thin">
        <color rgb="FFAAB4BE"/>
      </top>
      <bottom/>
      <diagonal/>
    </border>
    <border>
      <left style="thin">
        <color rgb="FFAAB4BE"/>
      </left>
      <right/>
      <top/>
      <bottom/>
      <diagonal/>
    </border>
    <border>
      <left/>
      <right style="thin">
        <color rgb="FFAAB4BE"/>
      </right>
      <top/>
      <bottom/>
      <diagonal/>
    </border>
    <border>
      <left style="thin">
        <color rgb="FFAAB4BE"/>
      </left>
      <right/>
      <top/>
      <bottom style="thin">
        <color rgb="FFAAB4BE"/>
      </bottom>
      <diagonal/>
    </border>
    <border>
      <left/>
      <right/>
      <top/>
      <bottom style="thin">
        <color rgb="FFAAB4BE"/>
      </bottom>
      <diagonal/>
    </border>
    <border>
      <left/>
      <right style="thin">
        <color rgb="FFAAB4BE"/>
      </right>
      <top/>
      <bottom style="thin">
        <color rgb="FFAAB4BE"/>
      </bottom>
      <diagonal/>
    </border>
  </borders>
  <cellStyleXfs count="1">
    <xf numFmtId="0" fontId="0" fillId="0" borderId="2"/>
  </cellStyleXfs>
  <cellXfs count="119">
    <xf numFmtId="0" fontId="0" fillId="0" borderId="0" xfId="0" applyBorder="1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center" wrapText="1"/>
    </xf>
    <xf numFmtId="164" fontId="4" fillId="5" borderId="1" xfId="0" applyNumberFormat="1" applyFont="1" applyFill="1" applyBorder="1" applyAlignment="1">
      <alignment horizontal="center" vertical="center" wrapText="1"/>
    </xf>
    <xf numFmtId="0" fontId="4" fillId="13" borderId="4" xfId="0" applyFont="1" applyFill="1" applyBorder="1" applyAlignment="1">
      <alignment horizontal="center" vertical="center" wrapText="1"/>
    </xf>
    <xf numFmtId="0" fontId="4" fillId="13" borderId="5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4" fillId="13" borderId="4" xfId="0" applyFont="1" applyFill="1" applyBorder="1" applyAlignment="1">
      <alignment vertical="center" wrapText="1"/>
    </xf>
    <xf numFmtId="0" fontId="4" fillId="13" borderId="5" xfId="0" applyFont="1" applyFill="1" applyBorder="1" applyAlignment="1">
      <alignment vertical="center" wrapText="1"/>
    </xf>
    <xf numFmtId="0" fontId="3" fillId="14" borderId="4" xfId="0" applyFont="1" applyFill="1" applyBorder="1" applyAlignment="1">
      <alignment horizontal="center" vertical="center" wrapText="1"/>
    </xf>
    <xf numFmtId="0" fontId="3" fillId="14" borderId="8" xfId="0" applyFont="1" applyFill="1" applyBorder="1" applyAlignment="1">
      <alignment horizontal="center" vertical="center" wrapText="1"/>
    </xf>
    <xf numFmtId="0" fontId="3" fillId="14" borderId="5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vertical="center" wrapText="1"/>
    </xf>
    <xf numFmtId="0" fontId="0" fillId="0" borderId="0" xfId="0" applyBorder="1"/>
    <xf numFmtId="0" fontId="11" fillId="21" borderId="10" xfId="0" applyFont="1" applyFill="1" applyBorder="1" applyAlignment="1">
      <alignment horizontal="center" vertical="center"/>
    </xf>
    <xf numFmtId="0" fontId="11" fillId="21" borderId="11" xfId="0" applyFont="1" applyFill="1" applyBorder="1" applyAlignment="1">
      <alignment horizontal="center" vertical="center"/>
    </xf>
    <xf numFmtId="0" fontId="11" fillId="21" borderId="12" xfId="0" applyFont="1" applyFill="1" applyBorder="1" applyAlignment="1">
      <alignment horizontal="center" vertical="center"/>
    </xf>
    <xf numFmtId="0" fontId="12" fillId="22" borderId="13" xfId="0" applyFont="1" applyFill="1" applyBorder="1" applyAlignment="1">
      <alignment vertical="top"/>
    </xf>
    <xf numFmtId="0" fontId="12" fillId="22" borderId="15" xfId="0" applyFont="1" applyFill="1" applyBorder="1" applyAlignment="1">
      <alignment vertical="top"/>
    </xf>
    <xf numFmtId="0" fontId="11" fillId="21" borderId="18" xfId="0" applyFont="1" applyFill="1" applyBorder="1" applyAlignment="1">
      <alignment horizontal="center" vertical="center"/>
    </xf>
    <xf numFmtId="0" fontId="11" fillId="21" borderId="19" xfId="0" applyFont="1" applyFill="1" applyBorder="1" applyAlignment="1">
      <alignment horizontal="center" vertical="center"/>
    </xf>
    <xf numFmtId="0" fontId="11" fillId="21" borderId="20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12" fillId="0" borderId="0" xfId="0" applyFont="1" applyBorder="1" applyAlignment="1">
      <alignment vertical="center"/>
    </xf>
    <xf numFmtId="0" fontId="0" fillId="0" borderId="23" xfId="0" applyBorder="1" applyAlignment="1">
      <alignment horizontal="center" vertical="center"/>
    </xf>
    <xf numFmtId="0" fontId="12" fillId="0" borderId="24" xfId="0" applyFont="1" applyBorder="1" applyAlignment="1">
      <alignment vertical="center"/>
    </xf>
    <xf numFmtId="0" fontId="12" fillId="0" borderId="21" xfId="0" applyFont="1" applyBorder="1" applyAlignment="1">
      <alignment vertical="center"/>
    </xf>
    <xf numFmtId="0" fontId="12" fillId="0" borderId="23" xfId="0" applyFont="1" applyBorder="1" applyAlignment="1">
      <alignment vertical="center"/>
    </xf>
    <xf numFmtId="164" fontId="4" fillId="5" borderId="1" xfId="0" applyNumberFormat="1" applyFont="1" applyFill="1" applyBorder="1" applyAlignment="1">
      <alignment horizontal="center" vertical="center" wrapText="1"/>
    </xf>
    <xf numFmtId="164" fontId="6" fillId="4" borderId="1" xfId="0" applyNumberFormat="1" applyFont="1" applyFill="1" applyBorder="1" applyAlignment="1">
      <alignment horizontal="center" vertical="center"/>
    </xf>
    <xf numFmtId="164" fontId="6" fillId="8" borderId="1" xfId="0" applyNumberFormat="1" applyFont="1" applyFill="1" applyBorder="1" applyAlignment="1">
      <alignment horizontal="center" vertical="center"/>
    </xf>
    <xf numFmtId="164" fontId="4" fillId="13" borderId="4" xfId="0" applyNumberFormat="1" applyFont="1" applyFill="1" applyBorder="1" applyAlignment="1">
      <alignment horizontal="center" vertical="center" wrapText="1"/>
    </xf>
    <xf numFmtId="164" fontId="4" fillId="13" borderId="8" xfId="0" applyNumberFormat="1" applyFont="1" applyFill="1" applyBorder="1" applyAlignment="1">
      <alignment horizontal="center" vertical="center" wrapText="1"/>
    </xf>
    <xf numFmtId="164" fontId="4" fillId="13" borderId="5" xfId="0" applyNumberFormat="1" applyFont="1" applyFill="1" applyBorder="1" applyAlignment="1">
      <alignment horizontal="center" vertical="center" wrapText="1"/>
    </xf>
    <xf numFmtId="10" fontId="4" fillId="13" borderId="1" xfId="0" applyNumberFormat="1" applyFont="1" applyFill="1" applyBorder="1" applyAlignment="1">
      <alignment horizontal="center" vertical="center" wrapText="1"/>
    </xf>
    <xf numFmtId="164" fontId="4" fillId="13" borderId="1" xfId="0" applyNumberFormat="1" applyFont="1" applyFill="1" applyBorder="1" applyAlignment="1">
      <alignment horizontal="center" vertical="center" wrapText="1"/>
    </xf>
    <xf numFmtId="164" fontId="6" fillId="17" borderId="4" xfId="0" applyNumberFormat="1" applyFont="1" applyFill="1" applyBorder="1" applyAlignment="1">
      <alignment horizontal="center" vertical="center"/>
    </xf>
    <xf numFmtId="164" fontId="6" fillId="17" borderId="8" xfId="0" applyNumberFormat="1" applyFont="1" applyFill="1" applyBorder="1" applyAlignment="1">
      <alignment horizontal="center" vertical="center"/>
    </xf>
    <xf numFmtId="164" fontId="6" fillId="17" borderId="5" xfId="0" applyNumberFormat="1" applyFont="1" applyFill="1" applyBorder="1" applyAlignment="1">
      <alignment horizontal="center" vertical="center"/>
    </xf>
    <xf numFmtId="10" fontId="6" fillId="17" borderId="1" xfId="0" applyNumberFormat="1" applyFont="1" applyFill="1" applyBorder="1" applyAlignment="1">
      <alignment horizontal="center" vertical="center"/>
    </xf>
    <xf numFmtId="164" fontId="6" fillId="17" borderId="1" xfId="0" applyNumberFormat="1" applyFont="1" applyFill="1" applyBorder="1" applyAlignment="1">
      <alignment horizontal="center" vertical="center"/>
    </xf>
    <xf numFmtId="0" fontId="3" fillId="14" borderId="6" xfId="0" applyFont="1" applyFill="1" applyBorder="1" applyAlignment="1">
      <alignment horizontal="center" vertical="center" wrapText="1"/>
    </xf>
    <xf numFmtId="14" fontId="4" fillId="5" borderId="1" xfId="0" applyNumberFormat="1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0" fillId="0" borderId="9" xfId="0" applyBorder="1"/>
    <xf numFmtId="0" fontId="0" fillId="0" borderId="7" xfId="0" applyBorder="1"/>
    <xf numFmtId="0" fontId="4" fillId="5" borderId="3" xfId="0" applyFont="1" applyFill="1" applyBorder="1" applyAlignment="1">
      <alignment horizontal="center" vertical="center" wrapText="1"/>
    </xf>
    <xf numFmtId="164" fontId="4" fillId="5" borderId="3" xfId="0" applyNumberFormat="1" applyFont="1" applyFill="1" applyBorder="1" applyAlignment="1">
      <alignment horizontal="center" vertical="center" wrapText="1"/>
    </xf>
    <xf numFmtId="164" fontId="6" fillId="5" borderId="3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2" xfId="0" applyBorder="1"/>
    <xf numFmtId="0" fontId="2" fillId="3" borderId="2" xfId="0" applyFont="1" applyFill="1" applyAlignment="1">
      <alignment horizontal="center" vertical="center" wrapText="1"/>
    </xf>
    <xf numFmtId="0" fontId="0" fillId="0" borderId="2" xfId="0"/>
    <xf numFmtId="0" fontId="0" fillId="0" borderId="0" xfId="0" applyBorder="1"/>
    <xf numFmtId="0" fontId="3" fillId="4" borderId="3" xfId="0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6" fillId="4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vertical="center" wrapText="1"/>
    </xf>
    <xf numFmtId="0" fontId="5" fillId="8" borderId="3" xfId="0" applyFont="1" applyFill="1" applyBorder="1" applyAlignment="1">
      <alignment horizontal="center" vertical="center" wrapText="1"/>
    </xf>
    <xf numFmtId="10" fontId="6" fillId="5" borderId="3" xfId="0" applyNumberFormat="1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vertical="center" wrapText="1"/>
    </xf>
    <xf numFmtId="0" fontId="0" fillId="0" borderId="26" xfId="0" applyBorder="1"/>
    <xf numFmtId="0" fontId="0" fillId="0" borderId="31" xfId="0" applyBorder="1"/>
    <xf numFmtId="0" fontId="6" fillId="8" borderId="3" xfId="0" applyFont="1" applyFill="1" applyBorder="1" applyAlignment="1">
      <alignment horizontal="center" vertical="center"/>
    </xf>
    <xf numFmtId="0" fontId="5" fillId="9" borderId="3" xfId="0" applyFont="1" applyFill="1" applyBorder="1" applyAlignment="1">
      <alignment horizontal="center" vertical="center" wrapText="1"/>
    </xf>
    <xf numFmtId="0" fontId="5" fillId="16" borderId="3" xfId="0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vertical="center" wrapText="1"/>
    </xf>
    <xf numFmtId="0" fontId="4" fillId="13" borderId="6" xfId="0" applyFont="1" applyFill="1" applyBorder="1" applyAlignment="1">
      <alignment horizontal="left" vertical="center" wrapText="1"/>
    </xf>
    <xf numFmtId="0" fontId="6" fillId="12" borderId="7" xfId="0" applyFont="1" applyFill="1" applyBorder="1" applyAlignment="1">
      <alignment horizontal="center" vertical="center"/>
    </xf>
    <xf numFmtId="0" fontId="6" fillId="12" borderId="6" xfId="0" applyFont="1" applyFill="1" applyBorder="1" applyAlignment="1">
      <alignment horizontal="center" vertical="center"/>
    </xf>
    <xf numFmtId="0" fontId="2" fillId="11" borderId="2" xfId="0" applyFont="1" applyFill="1" applyAlignment="1">
      <alignment horizontal="center" vertical="center" wrapText="1"/>
    </xf>
    <xf numFmtId="164" fontId="4" fillId="13" borderId="3" xfId="0" applyNumberFormat="1" applyFont="1" applyFill="1" applyBorder="1" applyAlignment="1">
      <alignment vertical="center" wrapText="1"/>
    </xf>
    <xf numFmtId="0" fontId="3" fillId="14" borderId="3" xfId="0" applyFont="1" applyFill="1" applyBorder="1" applyAlignment="1">
      <alignment horizontal="center" vertical="center" wrapText="1"/>
    </xf>
    <xf numFmtId="0" fontId="5" fillId="15" borderId="3" xfId="0" applyFont="1" applyFill="1" applyBorder="1" applyAlignment="1">
      <alignment horizontal="center" vertical="center" wrapText="1"/>
    </xf>
    <xf numFmtId="0" fontId="3" fillId="14" borderId="9" xfId="0" applyFont="1" applyFill="1" applyBorder="1" applyAlignment="1">
      <alignment horizontal="center" vertical="center" wrapText="1"/>
    </xf>
    <xf numFmtId="0" fontId="3" fillId="14" borderId="7" xfId="0" applyFont="1" applyFill="1" applyBorder="1" applyAlignment="1">
      <alignment horizontal="center" vertical="center" wrapText="1"/>
    </xf>
    <xf numFmtId="0" fontId="1" fillId="10" borderId="3" xfId="0" applyFont="1" applyFill="1" applyBorder="1" applyAlignment="1">
      <alignment horizontal="center" vertical="center"/>
    </xf>
    <xf numFmtId="0" fontId="3" fillId="10" borderId="3" xfId="0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vertical="center" wrapText="1"/>
    </xf>
    <xf numFmtId="0" fontId="3" fillId="12" borderId="3" xfId="0" applyFont="1" applyFill="1" applyBorder="1" applyAlignment="1">
      <alignment horizontal="center" vertical="center" wrapText="1"/>
    </xf>
    <xf numFmtId="0" fontId="6" fillId="12" borderId="9" xfId="0" applyFont="1" applyFill="1" applyBorder="1" applyAlignment="1">
      <alignment horizontal="center" vertical="center"/>
    </xf>
    <xf numFmtId="0" fontId="4" fillId="13" borderId="9" xfId="0" applyFont="1" applyFill="1" applyBorder="1" applyAlignment="1">
      <alignment horizontal="left" vertical="center" wrapText="1"/>
    </xf>
    <xf numFmtId="0" fontId="4" fillId="13" borderId="7" xfId="0" applyFont="1" applyFill="1" applyBorder="1" applyAlignment="1">
      <alignment horizontal="left" vertical="center" wrapText="1"/>
    </xf>
    <xf numFmtId="0" fontId="7" fillId="13" borderId="3" xfId="0" applyFont="1" applyFill="1" applyBorder="1" applyAlignment="1">
      <alignment vertical="center" wrapText="1"/>
    </xf>
    <xf numFmtId="0" fontId="6" fillId="17" borderId="3" xfId="0" applyFont="1" applyFill="1" applyBorder="1" applyAlignment="1">
      <alignment horizontal="center" vertical="center"/>
    </xf>
    <xf numFmtId="164" fontId="6" fillId="13" borderId="3" xfId="0" applyNumberFormat="1" applyFont="1" applyFill="1" applyBorder="1" applyAlignment="1">
      <alignment horizontal="center" vertical="center"/>
    </xf>
    <xf numFmtId="0" fontId="3" fillId="17" borderId="3" xfId="0" applyFont="1" applyFill="1" applyBorder="1" applyAlignment="1">
      <alignment horizontal="center" vertical="center" wrapText="1"/>
    </xf>
    <xf numFmtId="164" fontId="8" fillId="13" borderId="7" xfId="0" applyNumberFormat="1" applyFont="1" applyFill="1" applyBorder="1" applyAlignment="1">
      <alignment horizontal="center" vertical="center"/>
    </xf>
    <xf numFmtId="164" fontId="8" fillId="13" borderId="9" xfId="0" applyNumberFormat="1" applyFont="1" applyFill="1" applyBorder="1" applyAlignment="1">
      <alignment horizontal="center" vertical="center"/>
    </xf>
    <xf numFmtId="10" fontId="6" fillId="13" borderId="3" xfId="0" applyNumberFormat="1" applyFont="1" applyFill="1" applyBorder="1" applyAlignment="1">
      <alignment horizontal="center" vertical="center"/>
    </xf>
    <xf numFmtId="164" fontId="8" fillId="13" borderId="6" xfId="0" applyNumberFormat="1" applyFont="1" applyFill="1" applyBorder="1" applyAlignment="1">
      <alignment horizontal="center" vertical="center"/>
    </xf>
    <xf numFmtId="0" fontId="3" fillId="16" borderId="3" xfId="0" applyFont="1" applyFill="1" applyBorder="1" applyAlignment="1">
      <alignment horizontal="center" vertical="center" wrapText="1"/>
    </xf>
    <xf numFmtId="0" fontId="3" fillId="18" borderId="3" xfId="0" applyFont="1" applyFill="1" applyBorder="1" applyAlignment="1">
      <alignment horizontal="center" vertical="center" wrapText="1"/>
    </xf>
    <xf numFmtId="0" fontId="0" fillId="0" borderId="22" xfId="0" applyBorder="1" applyAlignment="1">
      <alignment vertical="center" wrapText="1"/>
    </xf>
    <xf numFmtId="0" fontId="0" fillId="0" borderId="22" xfId="0" applyBorder="1"/>
    <xf numFmtId="0" fontId="0" fillId="0" borderId="25" xfId="0" applyBorder="1" applyAlignment="1">
      <alignment vertical="center" wrapText="1"/>
    </xf>
    <xf numFmtId="0" fontId="0" fillId="0" borderId="24" xfId="0" applyBorder="1"/>
    <xf numFmtId="0" fontId="0" fillId="0" borderId="25" xfId="0" applyBorder="1"/>
    <xf numFmtId="0" fontId="0" fillId="0" borderId="14" xfId="0" applyBorder="1" applyAlignment="1">
      <alignment wrapText="1"/>
    </xf>
    <xf numFmtId="0" fontId="0" fillId="0" borderId="14" xfId="0" applyBorder="1"/>
    <xf numFmtId="0" fontId="14" fillId="24" borderId="2" xfId="0" applyFont="1" applyFill="1" applyAlignment="1">
      <alignment horizontal="left" vertical="center" wrapText="1"/>
    </xf>
    <xf numFmtId="0" fontId="13" fillId="23" borderId="2" xfId="0" applyFont="1" applyFill="1" applyAlignment="1">
      <alignment vertical="center"/>
    </xf>
    <xf numFmtId="0" fontId="9" fillId="19" borderId="2" xfId="0" applyFont="1" applyFill="1" applyAlignment="1">
      <alignment horizontal="center" vertical="center"/>
    </xf>
    <xf numFmtId="0" fontId="0" fillId="0" borderId="17" xfId="0" applyBorder="1" applyAlignment="1">
      <alignment wrapText="1"/>
    </xf>
    <xf numFmtId="0" fontId="0" fillId="0" borderId="16" xfId="0" applyBorder="1"/>
    <xf numFmtId="0" fontId="0" fillId="0" borderId="17" xfId="0" applyBorder="1"/>
    <xf numFmtId="0" fontId="10" fillId="20" borderId="2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ChatGPT">
  <a:themeElements>
    <a:clrScheme name="Corporate Logistics">
      <a:dk1>
        <a:srgbClr val="000000"/>
      </a:dk1>
      <a:lt1>
        <a:srgbClr val="FFFFFF"/>
      </a:lt1>
      <a:dk2>
        <a:srgbClr val="0E2841"/>
      </a:dk2>
      <a:lt2>
        <a:srgbClr val="F2F2F2"/>
      </a:lt2>
      <a:accent1>
        <a:srgbClr val="1F4E78"/>
      </a:accent1>
      <a:accent2>
        <a:srgbClr val="5B9BD5"/>
      </a:accent2>
      <a:accent3>
        <a:srgbClr val="70AD47"/>
      </a:accent3>
      <a:accent4>
        <a:srgbClr val="ED7D31"/>
      </a:accent4>
      <a:accent5>
        <a:srgbClr val="A5A5A5"/>
      </a:accent5>
      <a:accent6>
        <a:srgbClr val="FFC000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orporate Logistics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N40"/>
  <sheetViews>
    <sheetView workbookViewId="0">
      <selection activeCell="N4" sqref="N4"/>
    </sheetView>
  </sheetViews>
  <sheetFormatPr defaultRowHeight="14.25"/>
  <cols>
    <col min="1" max="1" width="4" style="16" customWidth="1"/>
    <col min="2" max="2" width="18" style="16" customWidth="1"/>
    <col min="3" max="3" width="16" style="16" customWidth="1"/>
    <col min="4" max="5" width="12" style="16" customWidth="1"/>
    <col min="6" max="6" width="14" style="16" customWidth="1"/>
    <col min="7" max="7" width="4" style="16" customWidth="1"/>
    <col min="8" max="9" width="18" style="16" customWidth="1"/>
    <col min="10" max="14" width="14" style="16" customWidth="1"/>
  </cols>
  <sheetData>
    <row r="2" spans="2:14" ht="18" customHeight="1">
      <c r="B2" s="52" t="s">
        <v>0</v>
      </c>
      <c r="C2" s="53"/>
      <c r="D2" s="58" t="s">
        <v>1</v>
      </c>
      <c r="E2" s="59"/>
      <c r="F2" s="59"/>
      <c r="G2" s="59"/>
      <c r="H2" s="59"/>
      <c r="I2" s="59"/>
      <c r="J2" s="59"/>
      <c r="K2" s="59"/>
      <c r="L2" s="61" t="s">
        <v>2</v>
      </c>
      <c r="M2" s="47"/>
      <c r="N2" s="48"/>
    </row>
    <row r="3" spans="2:14" ht="18" customHeight="1">
      <c r="B3" s="54"/>
      <c r="C3" s="55"/>
      <c r="D3" s="59"/>
      <c r="E3" s="60"/>
      <c r="F3" s="60"/>
      <c r="G3" s="60"/>
      <c r="H3" s="60"/>
      <c r="I3" s="60"/>
      <c r="J3" s="60"/>
      <c r="K3" s="59"/>
      <c r="L3" s="49" t="s">
        <v>3</v>
      </c>
      <c r="M3" s="47"/>
      <c r="N3" s="48"/>
    </row>
    <row r="4" spans="2:14" ht="18" customHeight="1">
      <c r="B4" s="56"/>
      <c r="C4" s="57"/>
      <c r="D4" s="59"/>
      <c r="E4" s="59"/>
      <c r="F4" s="59"/>
      <c r="G4" s="59"/>
      <c r="H4" s="59"/>
      <c r="I4" s="59"/>
      <c r="J4" s="59"/>
      <c r="K4" s="59"/>
      <c r="L4" s="3" t="s">
        <v>4</v>
      </c>
      <c r="M4" s="2">
        <v>1</v>
      </c>
      <c r="N4" s="45" t="s">
        <v>190</v>
      </c>
    </row>
    <row r="6" spans="2:14" ht="17.45" customHeight="1">
      <c r="B6" s="71" t="s">
        <v>6</v>
      </c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8"/>
    </row>
    <row r="7" spans="2:14">
      <c r="B7" s="46" t="s">
        <v>7</v>
      </c>
      <c r="C7" s="48"/>
      <c r="D7" s="49" t="s">
        <v>8</v>
      </c>
      <c r="E7" s="47"/>
      <c r="F7" s="48"/>
      <c r="G7" s="46" t="s">
        <v>9</v>
      </c>
      <c r="H7" s="48"/>
      <c r="I7" s="49" t="s">
        <v>10</v>
      </c>
      <c r="J7" s="48"/>
      <c r="K7" s="46" t="s">
        <v>11</v>
      </c>
      <c r="L7" s="48"/>
      <c r="M7" s="49" t="s">
        <v>12</v>
      </c>
      <c r="N7" s="48"/>
    </row>
    <row r="8" spans="2:14">
      <c r="B8" s="46" t="s">
        <v>13</v>
      </c>
      <c r="C8" s="48"/>
      <c r="D8" s="49" t="s">
        <v>14</v>
      </c>
      <c r="E8" s="47"/>
      <c r="F8" s="48"/>
      <c r="G8" s="46" t="s">
        <v>15</v>
      </c>
      <c r="H8" s="48"/>
      <c r="I8" s="49" t="s">
        <v>16</v>
      </c>
      <c r="J8" s="48"/>
      <c r="K8" s="46" t="s">
        <v>17</v>
      </c>
      <c r="L8" s="48"/>
      <c r="M8" s="49" t="s">
        <v>18</v>
      </c>
      <c r="N8" s="48"/>
    </row>
    <row r="9" spans="2:14">
      <c r="B9" s="46" t="s">
        <v>19</v>
      </c>
      <c r="C9" s="48"/>
      <c r="D9" s="49" t="s">
        <v>20</v>
      </c>
      <c r="E9" s="47"/>
      <c r="F9" s="48"/>
      <c r="G9" s="46" t="s">
        <v>21</v>
      </c>
      <c r="H9" s="48"/>
      <c r="I9" s="49">
        <v>5</v>
      </c>
      <c r="J9" s="48"/>
      <c r="K9" s="46" t="s">
        <v>22</v>
      </c>
      <c r="L9" s="48"/>
      <c r="M9" s="49" t="s">
        <v>23</v>
      </c>
      <c r="N9" s="48"/>
    </row>
    <row r="10" spans="2:14">
      <c r="B10" s="46" t="s">
        <v>24</v>
      </c>
      <c r="C10" s="53"/>
      <c r="D10" s="49" t="s">
        <v>25</v>
      </c>
      <c r="E10" s="62"/>
      <c r="F10" s="62"/>
      <c r="G10" s="62"/>
      <c r="H10" s="62"/>
      <c r="I10" s="62"/>
      <c r="J10" s="63"/>
      <c r="K10" s="46" t="s">
        <v>26</v>
      </c>
      <c r="L10" s="53"/>
      <c r="M10" s="49" t="s">
        <v>27</v>
      </c>
      <c r="N10" s="63"/>
    </row>
    <row r="11" spans="2:14">
      <c r="B11" s="56"/>
      <c r="C11" s="57"/>
      <c r="D11" s="64"/>
      <c r="E11" s="65"/>
      <c r="F11" s="65"/>
      <c r="G11" s="65"/>
      <c r="H11" s="65"/>
      <c r="I11" s="65"/>
      <c r="J11" s="66"/>
      <c r="K11" s="56"/>
      <c r="L11" s="57"/>
      <c r="M11" s="64"/>
      <c r="N11" s="66"/>
    </row>
    <row r="13" spans="2:14" ht="17.45" customHeight="1">
      <c r="B13" s="71" t="s">
        <v>28</v>
      </c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8"/>
    </row>
    <row r="14" spans="2:14">
      <c r="B14" s="1" t="s">
        <v>29</v>
      </c>
      <c r="C14" s="1" t="s">
        <v>30</v>
      </c>
      <c r="D14" s="61" t="s">
        <v>31</v>
      </c>
      <c r="E14" s="47"/>
      <c r="F14" s="48"/>
      <c r="G14" s="61" t="s">
        <v>32</v>
      </c>
      <c r="H14" s="48"/>
      <c r="I14" s="61" t="s">
        <v>33</v>
      </c>
      <c r="J14" s="48"/>
      <c r="K14" s="1" t="s">
        <v>34</v>
      </c>
      <c r="L14" s="61" t="s">
        <v>35</v>
      </c>
      <c r="M14" s="48"/>
      <c r="N14" s="1" t="s">
        <v>36</v>
      </c>
    </row>
    <row r="15" spans="2:14" ht="22.35" customHeight="1">
      <c r="B15" s="2">
        <v>1</v>
      </c>
      <c r="C15" s="2" t="s">
        <v>37</v>
      </c>
      <c r="D15" s="68" t="s">
        <v>38</v>
      </c>
      <c r="E15" s="47"/>
      <c r="F15" s="48"/>
      <c r="G15" s="68" t="s">
        <v>25</v>
      </c>
      <c r="H15" s="48"/>
      <c r="I15" s="68" t="s">
        <v>39</v>
      </c>
      <c r="J15" s="48"/>
      <c r="K15" s="31">
        <v>290304.28000000003</v>
      </c>
      <c r="L15" s="49"/>
      <c r="M15" s="48"/>
      <c r="N15" s="4"/>
    </row>
    <row r="16" spans="2:14" ht="22.35" customHeight="1">
      <c r="B16" s="2"/>
      <c r="C16" s="2"/>
      <c r="D16" s="68"/>
      <c r="E16" s="47"/>
      <c r="F16" s="48"/>
      <c r="G16" s="68"/>
      <c r="H16" s="48"/>
      <c r="I16" s="68"/>
      <c r="J16" s="48"/>
      <c r="K16" s="31"/>
      <c r="L16" s="49"/>
      <c r="M16" s="48"/>
      <c r="N16" s="4"/>
    </row>
    <row r="17" spans="2:14" ht="22.35" customHeight="1">
      <c r="B17" s="2"/>
      <c r="C17" s="2"/>
      <c r="D17" s="68"/>
      <c r="E17" s="47"/>
      <c r="F17" s="48"/>
      <c r="G17" s="68"/>
      <c r="H17" s="48"/>
      <c r="I17" s="68"/>
      <c r="J17" s="48"/>
      <c r="K17" s="31"/>
      <c r="L17" s="49"/>
      <c r="M17" s="48"/>
      <c r="N17" s="4"/>
    </row>
    <row r="18" spans="2:14" ht="22.35" customHeight="1">
      <c r="B18" s="2"/>
      <c r="C18" s="2"/>
      <c r="D18" s="68"/>
      <c r="E18" s="47"/>
      <c r="F18" s="48"/>
      <c r="G18" s="68"/>
      <c r="H18" s="48"/>
      <c r="I18" s="68"/>
      <c r="J18" s="48"/>
      <c r="K18" s="31"/>
      <c r="L18" s="49"/>
      <c r="M18" s="48"/>
      <c r="N18" s="4"/>
    </row>
    <row r="19" spans="2:14" ht="22.35" customHeight="1">
      <c r="B19" s="2"/>
      <c r="C19" s="2"/>
      <c r="D19" s="68"/>
      <c r="E19" s="47"/>
      <c r="F19" s="48"/>
      <c r="G19" s="68"/>
      <c r="H19" s="48"/>
      <c r="I19" s="68"/>
      <c r="J19" s="48"/>
      <c r="K19" s="31"/>
      <c r="L19" s="49"/>
      <c r="M19" s="48"/>
      <c r="N19" s="4"/>
    </row>
    <row r="20" spans="2:14" ht="22.35" customHeight="1">
      <c r="B20" s="2"/>
      <c r="C20" s="2"/>
      <c r="D20" s="68"/>
      <c r="E20" s="47"/>
      <c r="F20" s="48"/>
      <c r="G20" s="68"/>
      <c r="H20" s="48"/>
      <c r="I20" s="68"/>
      <c r="J20" s="48"/>
      <c r="K20" s="31"/>
      <c r="L20" s="49"/>
      <c r="M20" s="48"/>
      <c r="N20" s="4"/>
    </row>
    <row r="22" spans="2:14" ht="17.45" customHeight="1">
      <c r="B22" s="71" t="s">
        <v>40</v>
      </c>
      <c r="C22" s="47"/>
      <c r="D22" s="47"/>
      <c r="E22" s="47"/>
      <c r="F22" s="48"/>
      <c r="H22" s="69" t="s">
        <v>41</v>
      </c>
      <c r="I22" s="47"/>
      <c r="J22" s="47"/>
      <c r="K22" s="47"/>
      <c r="L22" s="47"/>
      <c r="M22" s="47"/>
      <c r="N22" s="48"/>
    </row>
    <row r="23" spans="2:14">
      <c r="B23" s="3" t="s">
        <v>42</v>
      </c>
      <c r="C23" s="3" t="s">
        <v>43</v>
      </c>
      <c r="D23" s="3" t="s">
        <v>44</v>
      </c>
      <c r="E23" s="3" t="s">
        <v>45</v>
      </c>
      <c r="F23" s="3" t="s">
        <v>46</v>
      </c>
      <c r="H23" s="46" t="s">
        <v>42</v>
      </c>
      <c r="I23" s="47"/>
      <c r="J23" s="48"/>
      <c r="K23" s="46" t="s">
        <v>43</v>
      </c>
      <c r="L23" s="48"/>
      <c r="M23" s="3" t="s">
        <v>45</v>
      </c>
      <c r="N23" s="3" t="s">
        <v>46</v>
      </c>
    </row>
    <row r="24" spans="2:14" ht="17.45" customHeight="1">
      <c r="B24" s="4" t="s">
        <v>47</v>
      </c>
      <c r="C24" s="5">
        <v>12</v>
      </c>
      <c r="D24" s="2">
        <v>4</v>
      </c>
      <c r="E24" s="2">
        <v>5</v>
      </c>
      <c r="F24" s="31">
        <v>240</v>
      </c>
      <c r="H24" s="68" t="s">
        <v>48</v>
      </c>
      <c r="I24" s="47"/>
      <c r="J24" s="48"/>
      <c r="K24" s="50">
        <v>1600</v>
      </c>
      <c r="L24" s="48"/>
      <c r="M24" s="2">
        <v>1</v>
      </c>
      <c r="N24" s="31">
        <v>1600</v>
      </c>
    </row>
    <row r="25" spans="2:14" ht="17.45" customHeight="1">
      <c r="B25" s="4" t="s">
        <v>49</v>
      </c>
      <c r="C25" s="5">
        <v>40</v>
      </c>
      <c r="D25" s="2">
        <v>4</v>
      </c>
      <c r="E25" s="2">
        <v>5</v>
      </c>
      <c r="F25" s="31">
        <v>800</v>
      </c>
      <c r="H25" s="68" t="s">
        <v>50</v>
      </c>
      <c r="I25" s="47"/>
      <c r="J25" s="48"/>
      <c r="K25" s="50">
        <v>4600</v>
      </c>
      <c r="L25" s="48"/>
      <c r="M25" s="2">
        <v>1</v>
      </c>
      <c r="N25" s="31">
        <v>4600</v>
      </c>
    </row>
    <row r="26" spans="2:14" ht="17.45" customHeight="1">
      <c r="B26" s="4" t="s">
        <v>51</v>
      </c>
      <c r="C26" s="5">
        <v>40</v>
      </c>
      <c r="D26" s="2">
        <v>4</v>
      </c>
      <c r="E26" s="2">
        <v>5</v>
      </c>
      <c r="F26" s="31">
        <v>800</v>
      </c>
      <c r="H26" s="68" t="s">
        <v>52</v>
      </c>
      <c r="I26" s="47"/>
      <c r="J26" s="48"/>
      <c r="K26" s="50">
        <v>1500</v>
      </c>
      <c r="L26" s="48"/>
      <c r="M26" s="2">
        <v>5</v>
      </c>
      <c r="N26" s="31">
        <v>7500</v>
      </c>
    </row>
    <row r="27" spans="2:14" ht="17.45" customHeight="1">
      <c r="B27" s="4" t="s">
        <v>53</v>
      </c>
      <c r="C27" s="5">
        <v>75</v>
      </c>
      <c r="D27" s="2">
        <v>4</v>
      </c>
      <c r="E27" s="2">
        <v>5</v>
      </c>
      <c r="F27" s="31">
        <v>1500</v>
      </c>
      <c r="H27" s="68" t="s">
        <v>54</v>
      </c>
      <c r="I27" s="47"/>
      <c r="J27" s="48"/>
      <c r="K27" s="50">
        <v>500</v>
      </c>
      <c r="L27" s="48"/>
      <c r="M27" s="2">
        <v>1</v>
      </c>
      <c r="N27" s="31">
        <v>500</v>
      </c>
    </row>
    <row r="28" spans="2:14" ht="17.45" customHeight="1">
      <c r="B28" s="4" t="s">
        <v>55</v>
      </c>
      <c r="C28" s="5">
        <v>110</v>
      </c>
      <c r="D28" s="2">
        <v>4</v>
      </c>
      <c r="E28" s="2">
        <v>5</v>
      </c>
      <c r="F28" s="31">
        <v>2200</v>
      </c>
      <c r="H28" s="68" t="s">
        <v>56</v>
      </c>
      <c r="I28" s="47"/>
      <c r="J28" s="48"/>
      <c r="K28" s="50">
        <v>0</v>
      </c>
      <c r="L28" s="48"/>
      <c r="M28" s="2">
        <v>1</v>
      </c>
      <c r="N28" s="31">
        <v>0</v>
      </c>
    </row>
    <row r="29" spans="2:14" ht="17.45" customHeight="1">
      <c r="B29" s="4" t="s">
        <v>56</v>
      </c>
      <c r="C29" s="5">
        <v>0</v>
      </c>
      <c r="D29" s="2">
        <v>4</v>
      </c>
      <c r="E29" s="2">
        <v>5</v>
      </c>
      <c r="F29" s="31">
        <v>0</v>
      </c>
      <c r="H29" s="68"/>
      <c r="I29" s="47"/>
      <c r="J29" s="48"/>
      <c r="K29" s="50">
        <v>0</v>
      </c>
      <c r="L29" s="48"/>
      <c r="M29" s="2">
        <v>0</v>
      </c>
      <c r="N29" s="31">
        <v>0</v>
      </c>
    </row>
    <row r="30" spans="2:14" ht="17.45" customHeight="1">
      <c r="B30" s="4"/>
      <c r="C30" s="5">
        <v>0</v>
      </c>
      <c r="D30" s="2">
        <v>0</v>
      </c>
      <c r="E30" s="2">
        <v>0</v>
      </c>
      <c r="F30" s="31">
        <v>0</v>
      </c>
      <c r="H30" s="68"/>
      <c r="I30" s="47"/>
      <c r="J30" s="48"/>
      <c r="K30" s="50">
        <v>0</v>
      </c>
      <c r="L30" s="48"/>
      <c r="M30" s="2">
        <v>0</v>
      </c>
      <c r="N30" s="31">
        <v>0</v>
      </c>
    </row>
    <row r="31" spans="2:14">
      <c r="B31" s="67" t="s">
        <v>57</v>
      </c>
      <c r="C31" s="47"/>
      <c r="D31" s="47"/>
      <c r="E31" s="48"/>
      <c r="F31" s="32">
        <v>5540</v>
      </c>
      <c r="H31" s="75" t="s">
        <v>58</v>
      </c>
      <c r="I31" s="47"/>
      <c r="J31" s="47"/>
      <c r="K31" s="47"/>
      <c r="L31" s="47"/>
      <c r="M31" s="48"/>
      <c r="N31" s="33">
        <v>14200</v>
      </c>
    </row>
    <row r="33" spans="2:14" ht="17.45" customHeight="1">
      <c r="B33" s="76" t="s">
        <v>59</v>
      </c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8"/>
    </row>
    <row r="34" spans="2:14">
      <c r="B34" s="46" t="s">
        <v>60</v>
      </c>
      <c r="C34" s="47"/>
      <c r="D34" s="47"/>
      <c r="E34" s="47"/>
      <c r="F34" s="48"/>
      <c r="G34" s="51">
        <v>290304.28000000003</v>
      </c>
      <c r="H34" s="47"/>
      <c r="I34" s="48"/>
      <c r="J34" s="46" t="s">
        <v>61</v>
      </c>
      <c r="K34" s="47"/>
      <c r="L34" s="48"/>
      <c r="M34" s="70">
        <v>6.7997619601061335E-2</v>
      </c>
      <c r="N34" s="48"/>
    </row>
    <row r="35" spans="2:14">
      <c r="B35" s="46" t="s">
        <v>62</v>
      </c>
      <c r="C35" s="47"/>
      <c r="D35" s="47"/>
      <c r="E35" s="47"/>
      <c r="F35" s="48"/>
      <c r="G35" s="51">
        <v>5540</v>
      </c>
      <c r="H35" s="47"/>
      <c r="I35" s="48"/>
      <c r="J35" s="46" t="s">
        <v>63</v>
      </c>
      <c r="K35" s="47"/>
      <c r="L35" s="48"/>
      <c r="M35" s="51">
        <v>14200</v>
      </c>
      <c r="N35" s="48"/>
    </row>
    <row r="36" spans="2:14">
      <c r="B36" s="46" t="s">
        <v>64</v>
      </c>
      <c r="C36" s="47"/>
      <c r="D36" s="47"/>
      <c r="E36" s="47"/>
      <c r="F36" s="48"/>
      <c r="G36" s="51">
        <v>19740</v>
      </c>
      <c r="H36" s="47"/>
      <c r="I36" s="48"/>
      <c r="J36" s="46" t="s">
        <v>65</v>
      </c>
      <c r="K36" s="47"/>
      <c r="L36" s="48"/>
      <c r="M36" s="51">
        <v>19740</v>
      </c>
      <c r="N36" s="48"/>
    </row>
    <row r="38" spans="2:14">
      <c r="B38" s="72" t="s">
        <v>66</v>
      </c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53"/>
    </row>
    <row r="39" spans="2:14">
      <c r="B39" s="54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55"/>
    </row>
    <row r="40" spans="2:14">
      <c r="B40" s="56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57"/>
    </row>
  </sheetData>
  <mergeCells count="90">
    <mergeCell ref="B38:N40"/>
    <mergeCell ref="H25:J25"/>
    <mergeCell ref="B35:F35"/>
    <mergeCell ref="B36:F36"/>
    <mergeCell ref="J34:L34"/>
    <mergeCell ref="G34:I34"/>
    <mergeCell ref="K29:L29"/>
    <mergeCell ref="H31:M31"/>
    <mergeCell ref="M36:N36"/>
    <mergeCell ref="H29:J29"/>
    <mergeCell ref="G36:I36"/>
    <mergeCell ref="K28:L28"/>
    <mergeCell ref="K30:L30"/>
    <mergeCell ref="B33:N33"/>
    <mergeCell ref="H27:J27"/>
    <mergeCell ref="K27:L27"/>
    <mergeCell ref="J36:L36"/>
    <mergeCell ref="B22:F22"/>
    <mergeCell ref="G8:H8"/>
    <mergeCell ref="B6:N6"/>
    <mergeCell ref="G17:H17"/>
    <mergeCell ref="H28:J28"/>
    <mergeCell ref="G19:H19"/>
    <mergeCell ref="L15:M15"/>
    <mergeCell ref="G35:I35"/>
    <mergeCell ref="B8:C8"/>
    <mergeCell ref="D15:F15"/>
    <mergeCell ref="H23:J23"/>
    <mergeCell ref="G14:H14"/>
    <mergeCell ref="B9:C9"/>
    <mergeCell ref="D20:F20"/>
    <mergeCell ref="L2:N2"/>
    <mergeCell ref="K7:L7"/>
    <mergeCell ref="M10:N11"/>
    <mergeCell ref="I14:J14"/>
    <mergeCell ref="D19:F19"/>
    <mergeCell ref="M9:N9"/>
    <mergeCell ref="D7:F7"/>
    <mergeCell ref="D16:F16"/>
    <mergeCell ref="D18:F18"/>
    <mergeCell ref="L18:M18"/>
    <mergeCell ref="D8:F8"/>
    <mergeCell ref="M8:N8"/>
    <mergeCell ref="L3:N3"/>
    <mergeCell ref="G20:H20"/>
    <mergeCell ref="I20:J20"/>
    <mergeCell ref="B13:N13"/>
    <mergeCell ref="I15:J15"/>
    <mergeCell ref="L16:M16"/>
    <mergeCell ref="D17:F17"/>
    <mergeCell ref="L20:M20"/>
    <mergeCell ref="G18:H18"/>
    <mergeCell ref="I18:J18"/>
    <mergeCell ref="B31:E31"/>
    <mergeCell ref="D14:F14"/>
    <mergeCell ref="B34:F34"/>
    <mergeCell ref="H30:J30"/>
    <mergeCell ref="I17:J17"/>
    <mergeCell ref="G16:H16"/>
    <mergeCell ref="I19:J19"/>
    <mergeCell ref="H22:N22"/>
    <mergeCell ref="M34:N34"/>
    <mergeCell ref="I16:J16"/>
    <mergeCell ref="L17:M17"/>
    <mergeCell ref="K24:L24"/>
    <mergeCell ref="H24:J24"/>
    <mergeCell ref="G15:H15"/>
    <mergeCell ref="K23:L23"/>
    <mergeCell ref="H26:J26"/>
    <mergeCell ref="B2:C4"/>
    <mergeCell ref="K10:L11"/>
    <mergeCell ref="D9:F9"/>
    <mergeCell ref="D2:K4"/>
    <mergeCell ref="L14:M14"/>
    <mergeCell ref="G7:H7"/>
    <mergeCell ref="I7:J7"/>
    <mergeCell ref="M7:N7"/>
    <mergeCell ref="I8:J8"/>
    <mergeCell ref="D10:J11"/>
    <mergeCell ref="G9:H9"/>
    <mergeCell ref="I9:J9"/>
    <mergeCell ref="B7:C7"/>
    <mergeCell ref="K9:L9"/>
    <mergeCell ref="B10:C11"/>
    <mergeCell ref="K8:L8"/>
    <mergeCell ref="J35:L35"/>
    <mergeCell ref="L19:M19"/>
    <mergeCell ref="K26:L26"/>
    <mergeCell ref="M35:N35"/>
    <mergeCell ref="K25:L25"/>
  </mergeCells>
  <pageMargins left="0.7" right="0.7" top="0.75" bottom="0.75" header="0.3" footer="0.3"/>
  <pageSetup fitToHeight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L42"/>
  <sheetViews>
    <sheetView workbookViewId="0">
      <selection activeCell="L4" sqref="L4"/>
    </sheetView>
  </sheetViews>
  <sheetFormatPr defaultRowHeight="14.25"/>
  <cols>
    <col min="1" max="1" width="2.75" style="16" customWidth="1"/>
    <col min="2" max="2" width="16" style="16" customWidth="1"/>
    <col min="3" max="3" width="10.75" style="16" customWidth="1"/>
    <col min="4" max="6" width="16" style="16" customWidth="1"/>
    <col min="7" max="10" width="13" style="16" customWidth="1"/>
    <col min="11" max="12" width="18" style="16" customWidth="1"/>
  </cols>
  <sheetData>
    <row r="2" spans="2:12" ht="18" customHeight="1">
      <c r="B2" s="88" t="s">
        <v>0</v>
      </c>
      <c r="C2" s="53"/>
      <c r="D2" s="82" t="s">
        <v>67</v>
      </c>
      <c r="E2" s="59"/>
      <c r="F2" s="59"/>
      <c r="G2" s="59"/>
      <c r="H2" s="59"/>
      <c r="I2" s="59"/>
      <c r="J2" s="91" t="s">
        <v>30</v>
      </c>
      <c r="K2" s="47"/>
      <c r="L2" s="48"/>
    </row>
    <row r="3" spans="2:12" ht="18" customHeight="1">
      <c r="B3" s="54"/>
      <c r="C3" s="55"/>
      <c r="D3" s="59"/>
      <c r="E3" s="60"/>
      <c r="F3" s="60"/>
      <c r="G3" s="60"/>
      <c r="H3" s="60"/>
      <c r="I3" s="59"/>
      <c r="J3" s="90" t="s">
        <v>37</v>
      </c>
      <c r="K3" s="47"/>
      <c r="L3" s="48"/>
    </row>
    <row r="4" spans="2:12" ht="18" customHeight="1">
      <c r="B4" s="56"/>
      <c r="C4" s="57"/>
      <c r="D4" s="59"/>
      <c r="E4" s="59"/>
      <c r="F4" s="59"/>
      <c r="G4" s="59"/>
      <c r="H4" s="59"/>
      <c r="I4" s="59"/>
      <c r="J4" s="8" t="s">
        <v>4</v>
      </c>
      <c r="K4" s="6">
        <v>1</v>
      </c>
      <c r="L4" s="45" t="s">
        <v>190</v>
      </c>
    </row>
    <row r="6" spans="2:12">
      <c r="B6" s="85" t="s">
        <v>68</v>
      </c>
      <c r="C6" s="47"/>
      <c r="D6" s="47"/>
      <c r="E6" s="47"/>
      <c r="F6" s="47"/>
      <c r="G6" s="47"/>
      <c r="H6" s="47"/>
      <c r="I6" s="47"/>
      <c r="J6" s="47"/>
      <c r="K6" s="47"/>
      <c r="L6" s="48"/>
    </row>
    <row r="7" spans="2:12">
      <c r="B7" s="84" t="s">
        <v>69</v>
      </c>
      <c r="C7" s="48"/>
      <c r="D7" s="78" t="s">
        <v>70</v>
      </c>
      <c r="E7" s="47"/>
      <c r="F7" s="48"/>
      <c r="G7" s="84" t="s">
        <v>71</v>
      </c>
      <c r="H7" s="48"/>
      <c r="I7" s="78" t="s">
        <v>72</v>
      </c>
      <c r="J7" s="47"/>
      <c r="K7" s="47"/>
      <c r="L7" s="48"/>
    </row>
    <row r="8" spans="2:12" ht="30" customHeight="1">
      <c r="B8" s="84" t="s">
        <v>31</v>
      </c>
      <c r="C8" s="48"/>
      <c r="D8" s="79" t="s">
        <v>38</v>
      </c>
      <c r="E8" s="47"/>
      <c r="F8" s="47"/>
      <c r="G8" s="84" t="s">
        <v>73</v>
      </c>
      <c r="H8" s="48"/>
      <c r="I8" s="78" t="s">
        <v>3</v>
      </c>
      <c r="J8" s="47"/>
      <c r="K8" s="47"/>
      <c r="L8" s="48"/>
    </row>
    <row r="9" spans="2:12" ht="13.9" customHeight="1">
      <c r="B9" s="84" t="s">
        <v>74</v>
      </c>
      <c r="C9" s="48"/>
      <c r="D9" s="78" t="s">
        <v>75</v>
      </c>
      <c r="E9" s="47"/>
      <c r="F9" s="48"/>
      <c r="G9" s="84" t="s">
        <v>35</v>
      </c>
      <c r="H9" s="48"/>
      <c r="I9" s="78" t="s">
        <v>12</v>
      </c>
      <c r="J9" s="47"/>
      <c r="K9" s="47"/>
      <c r="L9" s="48"/>
    </row>
    <row r="10" spans="2:12" ht="13.9" customHeight="1">
      <c r="B10" s="84" t="s">
        <v>33</v>
      </c>
      <c r="C10" s="48"/>
      <c r="D10" s="79" t="s">
        <v>39</v>
      </c>
      <c r="E10" s="93"/>
      <c r="F10" s="94"/>
      <c r="G10" s="84" t="s">
        <v>76</v>
      </c>
      <c r="H10" s="48"/>
      <c r="I10" s="83">
        <v>290304.28000000003</v>
      </c>
      <c r="J10" s="47"/>
      <c r="K10" s="47"/>
      <c r="L10" s="48"/>
    </row>
    <row r="12" spans="2:12">
      <c r="B12" s="85" t="s">
        <v>77</v>
      </c>
      <c r="C12" s="47"/>
      <c r="D12" s="47"/>
      <c r="E12" s="47"/>
      <c r="F12" s="47"/>
      <c r="G12" s="47"/>
      <c r="H12" s="47"/>
      <c r="I12" s="47"/>
      <c r="J12" s="47"/>
      <c r="K12" s="47"/>
      <c r="L12" s="48"/>
    </row>
    <row r="13" spans="2:12">
      <c r="B13" s="8" t="s">
        <v>78</v>
      </c>
      <c r="C13" s="44" t="s">
        <v>79</v>
      </c>
      <c r="D13" s="86" t="s">
        <v>80</v>
      </c>
      <c r="E13" s="86"/>
      <c r="F13" s="86"/>
      <c r="G13" s="86"/>
      <c r="H13" s="87"/>
      <c r="I13" s="11" t="s">
        <v>45</v>
      </c>
      <c r="J13" s="13" t="s">
        <v>81</v>
      </c>
      <c r="K13" s="84" t="s">
        <v>26</v>
      </c>
      <c r="L13" s="48"/>
    </row>
    <row r="14" spans="2:12" ht="56.25" customHeight="1">
      <c r="B14" s="14">
        <v>1</v>
      </c>
      <c r="C14" s="15" t="e" vm="1">
        <v>#VALUE!</v>
      </c>
      <c r="D14" s="79" t="s">
        <v>83</v>
      </c>
      <c r="E14" s="47"/>
      <c r="F14" s="47"/>
      <c r="G14" s="47"/>
      <c r="H14" s="47"/>
      <c r="I14" s="6">
        <v>2</v>
      </c>
      <c r="J14" s="7" t="s">
        <v>84</v>
      </c>
      <c r="K14" s="78"/>
      <c r="L14" s="48"/>
    </row>
    <row r="15" spans="2:12" ht="34.9" customHeight="1">
      <c r="B15" s="14">
        <v>2</v>
      </c>
      <c r="C15" s="15" t="s">
        <v>82</v>
      </c>
      <c r="D15" s="79" t="s">
        <v>85</v>
      </c>
      <c r="E15" s="47"/>
      <c r="F15" s="47"/>
      <c r="G15" s="47"/>
      <c r="H15" s="47"/>
      <c r="I15" s="6">
        <v>1</v>
      </c>
      <c r="J15" s="7" t="s">
        <v>84</v>
      </c>
      <c r="K15" s="78"/>
      <c r="L15" s="48"/>
    </row>
    <row r="16" spans="2:12" ht="34.9" customHeight="1">
      <c r="B16" s="14">
        <v>3</v>
      </c>
      <c r="C16" s="15" t="s">
        <v>82</v>
      </c>
      <c r="D16" s="79" t="s">
        <v>86</v>
      </c>
      <c r="E16" s="47"/>
      <c r="F16" s="47"/>
      <c r="G16" s="47"/>
      <c r="H16" s="47"/>
      <c r="I16" s="6">
        <v>1</v>
      </c>
      <c r="J16" s="7" t="s">
        <v>84</v>
      </c>
      <c r="K16" s="78"/>
      <c r="L16" s="48"/>
    </row>
    <row r="17" spans="2:12" ht="34.9" customHeight="1">
      <c r="B17" s="14"/>
      <c r="C17" s="15"/>
      <c r="D17" s="79"/>
      <c r="E17" s="47"/>
      <c r="F17" s="47"/>
      <c r="G17" s="47"/>
      <c r="H17" s="47"/>
      <c r="I17" s="6"/>
      <c r="J17" s="7"/>
      <c r="K17" s="78"/>
      <c r="L17" s="48"/>
    </row>
    <row r="18" spans="2:12" ht="34.9" customHeight="1">
      <c r="B18" s="14"/>
      <c r="C18" s="15"/>
      <c r="D18" s="79"/>
      <c r="E18" s="47"/>
      <c r="F18" s="47"/>
      <c r="G18" s="47"/>
      <c r="H18" s="47"/>
      <c r="I18" s="6"/>
      <c r="J18" s="7"/>
      <c r="K18" s="78"/>
      <c r="L18" s="48"/>
    </row>
    <row r="19" spans="2:12" ht="34.9" customHeight="1">
      <c r="B19" s="14"/>
      <c r="C19" s="15"/>
      <c r="D19" s="79"/>
      <c r="E19" s="47"/>
      <c r="F19" s="47"/>
      <c r="G19" s="47"/>
      <c r="H19" s="47"/>
      <c r="I19" s="6"/>
      <c r="J19" s="7"/>
      <c r="K19" s="78"/>
      <c r="L19" s="48"/>
    </row>
    <row r="20" spans="2:12" ht="34.9" customHeight="1">
      <c r="B20" s="14"/>
      <c r="C20" s="15"/>
      <c r="D20" s="79"/>
      <c r="E20" s="47"/>
      <c r="F20" s="47"/>
      <c r="G20" s="47"/>
      <c r="H20" s="47"/>
      <c r="I20" s="6"/>
      <c r="J20" s="7"/>
      <c r="K20" s="78"/>
      <c r="L20" s="48"/>
    </row>
    <row r="21" spans="2:12" ht="34.9" customHeight="1">
      <c r="B21" s="14"/>
      <c r="C21" s="15"/>
      <c r="D21" s="79"/>
      <c r="E21" s="47"/>
      <c r="F21" s="47"/>
      <c r="G21" s="47"/>
      <c r="H21" s="47"/>
      <c r="I21" s="6"/>
      <c r="J21" s="7"/>
      <c r="K21" s="78"/>
      <c r="L21" s="48"/>
    </row>
    <row r="22" spans="2:12" ht="34.9" customHeight="1">
      <c r="B22" s="14"/>
      <c r="C22" s="15"/>
      <c r="D22" s="79"/>
      <c r="E22" s="47"/>
      <c r="F22" s="47"/>
      <c r="G22" s="47"/>
      <c r="H22" s="47"/>
      <c r="I22" s="6"/>
      <c r="J22" s="7"/>
      <c r="K22" s="78"/>
      <c r="L22" s="48"/>
    </row>
    <row r="23" spans="2:12" ht="34.9" customHeight="1">
      <c r="B23" s="14"/>
      <c r="C23" s="15"/>
      <c r="D23" s="79"/>
      <c r="E23" s="47"/>
      <c r="F23" s="47"/>
      <c r="G23" s="47"/>
      <c r="H23" s="47"/>
      <c r="I23" s="6"/>
      <c r="J23" s="7"/>
      <c r="K23" s="78"/>
      <c r="L23" s="48"/>
    </row>
    <row r="24" spans="2:12" ht="34.9" customHeight="1">
      <c r="B24" s="14"/>
      <c r="C24" s="15"/>
      <c r="D24" s="79"/>
      <c r="E24" s="47"/>
      <c r="F24" s="47"/>
      <c r="G24" s="47"/>
      <c r="H24" s="47"/>
      <c r="I24" s="6"/>
      <c r="J24" s="7"/>
      <c r="K24" s="78"/>
      <c r="L24" s="48"/>
    </row>
    <row r="25" spans="2:12" ht="34.9" customHeight="1">
      <c r="B25" s="14"/>
      <c r="C25" s="15"/>
      <c r="D25" s="79"/>
      <c r="E25" s="47"/>
      <c r="F25" s="47"/>
      <c r="G25" s="47"/>
      <c r="H25" s="47"/>
      <c r="I25" s="6"/>
      <c r="J25" s="7"/>
      <c r="K25" s="78"/>
      <c r="L25" s="48"/>
    </row>
    <row r="26" spans="2:12" ht="34.9" customHeight="1">
      <c r="B26" s="14"/>
      <c r="C26" s="15"/>
      <c r="D26" s="79"/>
      <c r="E26" s="47"/>
      <c r="F26" s="47"/>
      <c r="G26" s="47"/>
      <c r="H26" s="47"/>
      <c r="I26" s="6"/>
      <c r="J26" s="7"/>
      <c r="K26" s="78"/>
      <c r="L26" s="48"/>
    </row>
    <row r="27" spans="2:12" ht="34.9" customHeight="1">
      <c r="B27" s="14"/>
      <c r="C27" s="15"/>
      <c r="D27" s="79"/>
      <c r="E27" s="47"/>
      <c r="F27" s="47"/>
      <c r="G27" s="47"/>
      <c r="H27" s="47"/>
      <c r="I27" s="6"/>
      <c r="J27" s="7"/>
      <c r="K27" s="78"/>
      <c r="L27" s="48"/>
    </row>
    <row r="28" spans="2:12" ht="34.9" customHeight="1">
      <c r="B28" s="14"/>
      <c r="C28" s="15"/>
      <c r="D28" s="79"/>
      <c r="E28" s="47"/>
      <c r="F28" s="47"/>
      <c r="G28" s="47"/>
      <c r="H28" s="47"/>
      <c r="I28" s="6"/>
      <c r="J28" s="7"/>
      <c r="K28" s="78"/>
      <c r="L28" s="48"/>
    </row>
    <row r="29" spans="2:12" ht="34.9" customHeight="1">
      <c r="B29" s="14"/>
      <c r="C29" s="15"/>
      <c r="D29" s="79"/>
      <c r="E29" s="47"/>
      <c r="F29" s="47"/>
      <c r="G29" s="47"/>
      <c r="H29" s="47"/>
      <c r="I29" s="6"/>
      <c r="J29" s="7"/>
      <c r="K29" s="78"/>
      <c r="L29" s="48"/>
    </row>
    <row r="30" spans="2:12" ht="34.9" customHeight="1">
      <c r="B30" s="14"/>
      <c r="C30" s="15"/>
      <c r="D30" s="79"/>
      <c r="E30" s="47"/>
      <c r="F30" s="47"/>
      <c r="G30" s="47"/>
      <c r="H30" s="47"/>
      <c r="I30" s="6"/>
      <c r="J30" s="7"/>
      <c r="K30" s="78"/>
      <c r="L30" s="48"/>
    </row>
    <row r="31" spans="2:12" ht="34.9" customHeight="1">
      <c r="B31" s="14"/>
      <c r="C31" s="15"/>
      <c r="D31" s="79"/>
      <c r="E31" s="47"/>
      <c r="F31" s="47"/>
      <c r="G31" s="47"/>
      <c r="H31" s="47"/>
      <c r="I31" s="6"/>
      <c r="J31" s="7"/>
      <c r="K31" s="78"/>
      <c r="L31" s="48"/>
    </row>
    <row r="33" spans="2:12">
      <c r="B33" s="81" t="s">
        <v>87</v>
      </c>
      <c r="C33" s="47"/>
      <c r="D33" s="47"/>
      <c r="E33" s="47"/>
      <c r="F33" s="47"/>
      <c r="G33" s="47"/>
      <c r="H33" s="47"/>
      <c r="I33" s="92">
        <v>4</v>
      </c>
      <c r="J33" s="47"/>
      <c r="K33" s="80" t="s">
        <v>88</v>
      </c>
      <c r="L33" s="48"/>
    </row>
    <row r="35" spans="2:12">
      <c r="B35" s="77" t="s">
        <v>89</v>
      </c>
      <c r="C35" s="47"/>
      <c r="D35" s="47"/>
      <c r="E35" s="47"/>
      <c r="F35" s="47"/>
      <c r="G35" s="47"/>
      <c r="H35" s="47"/>
      <c r="I35" s="47"/>
      <c r="J35" s="47"/>
      <c r="K35" s="47"/>
      <c r="L35" s="48"/>
    </row>
    <row r="36" spans="2:12">
      <c r="B36" s="78" t="s">
        <v>27</v>
      </c>
      <c r="C36" s="73"/>
      <c r="D36" s="73"/>
      <c r="E36" s="73"/>
      <c r="F36" s="73"/>
      <c r="G36" s="73"/>
      <c r="H36" s="73"/>
      <c r="I36" s="73"/>
      <c r="J36" s="73"/>
      <c r="K36" s="73"/>
      <c r="L36" s="53"/>
    </row>
    <row r="37" spans="2:12">
      <c r="B37" s="54"/>
      <c r="C37" s="60"/>
      <c r="D37" s="60"/>
      <c r="E37" s="60"/>
      <c r="F37" s="60"/>
      <c r="G37" s="60"/>
      <c r="H37" s="60"/>
      <c r="I37" s="60"/>
      <c r="J37" s="60"/>
      <c r="K37" s="60"/>
      <c r="L37" s="55"/>
    </row>
    <row r="38" spans="2:12">
      <c r="B38" s="54"/>
      <c r="C38" s="60"/>
      <c r="D38" s="60"/>
      <c r="E38" s="60"/>
      <c r="F38" s="60"/>
      <c r="G38" s="60"/>
      <c r="H38" s="60"/>
      <c r="I38" s="60"/>
      <c r="J38" s="60"/>
      <c r="K38" s="60"/>
      <c r="L38" s="55"/>
    </row>
    <row r="39" spans="2:12">
      <c r="B39" s="56"/>
      <c r="C39" s="74"/>
      <c r="D39" s="74"/>
      <c r="E39" s="74"/>
      <c r="F39" s="74"/>
      <c r="G39" s="74"/>
      <c r="H39" s="74"/>
      <c r="I39" s="74"/>
      <c r="J39" s="74"/>
      <c r="K39" s="74"/>
      <c r="L39" s="57"/>
    </row>
    <row r="41" spans="2:12">
      <c r="B41" s="91" t="s">
        <v>90</v>
      </c>
      <c r="C41" s="47"/>
      <c r="D41" s="47"/>
      <c r="E41" s="47"/>
      <c r="F41" s="48"/>
      <c r="G41" s="78" t="s">
        <v>14</v>
      </c>
      <c r="H41" s="47"/>
      <c r="I41" s="47"/>
      <c r="J41" s="47"/>
      <c r="K41" s="47"/>
      <c r="L41" s="48"/>
    </row>
    <row r="42" spans="2:12">
      <c r="B42" s="89" t="s">
        <v>91</v>
      </c>
      <c r="C42" s="47"/>
      <c r="D42" s="47"/>
      <c r="E42" s="47"/>
      <c r="F42" s="48"/>
      <c r="G42" s="78" t="s">
        <v>92</v>
      </c>
      <c r="H42" s="47"/>
      <c r="I42" s="47"/>
      <c r="J42" s="47"/>
      <c r="K42" s="47"/>
      <c r="L42" s="48"/>
    </row>
  </sheetData>
  <mergeCells count="69">
    <mergeCell ref="B6:L6"/>
    <mergeCell ref="D24:H24"/>
    <mergeCell ref="G42:L42"/>
    <mergeCell ref="K28:L28"/>
    <mergeCell ref="D29:H29"/>
    <mergeCell ref="K19:L19"/>
    <mergeCell ref="D23:H23"/>
    <mergeCell ref="D14:H14"/>
    <mergeCell ref="G9:H9"/>
    <mergeCell ref="K18:L18"/>
    <mergeCell ref="B41:F41"/>
    <mergeCell ref="D26:H26"/>
    <mergeCell ref="D10:F10"/>
    <mergeCell ref="B10:C10"/>
    <mergeCell ref="D28:H28"/>
    <mergeCell ref="I7:L7"/>
    <mergeCell ref="K23:L23"/>
    <mergeCell ref="B9:C9"/>
    <mergeCell ref="K14:L14"/>
    <mergeCell ref="D18:H18"/>
    <mergeCell ref="K17:L17"/>
    <mergeCell ref="D15:H15"/>
    <mergeCell ref="B7:C7"/>
    <mergeCell ref="I8:L8"/>
    <mergeCell ref="B2:C4"/>
    <mergeCell ref="G10:H10"/>
    <mergeCell ref="B42:F42"/>
    <mergeCell ref="D27:H27"/>
    <mergeCell ref="K13:L13"/>
    <mergeCell ref="D9:F9"/>
    <mergeCell ref="K31:L31"/>
    <mergeCell ref="D8:F8"/>
    <mergeCell ref="B8:C8"/>
    <mergeCell ref="J3:L3"/>
    <mergeCell ref="K22:L22"/>
    <mergeCell ref="D17:H17"/>
    <mergeCell ref="B36:L39"/>
    <mergeCell ref="J2:L2"/>
    <mergeCell ref="G41:L41"/>
    <mergeCell ref="D16:H16"/>
    <mergeCell ref="D2:I4"/>
    <mergeCell ref="K24:L24"/>
    <mergeCell ref="K15:L15"/>
    <mergeCell ref="D19:H19"/>
    <mergeCell ref="I10:L10"/>
    <mergeCell ref="G8:H8"/>
    <mergeCell ref="D7:F7"/>
    <mergeCell ref="D22:H22"/>
    <mergeCell ref="K21:L21"/>
    <mergeCell ref="D21:H21"/>
    <mergeCell ref="B12:L12"/>
    <mergeCell ref="K20:L20"/>
    <mergeCell ref="I9:L9"/>
    <mergeCell ref="G7:H7"/>
    <mergeCell ref="K16:L16"/>
    <mergeCell ref="D13:H13"/>
    <mergeCell ref="B35:L35"/>
    <mergeCell ref="K30:L30"/>
    <mergeCell ref="K25:L25"/>
    <mergeCell ref="D20:H20"/>
    <mergeCell ref="K33:L33"/>
    <mergeCell ref="B33:H33"/>
    <mergeCell ref="D31:H31"/>
    <mergeCell ref="K26:L26"/>
    <mergeCell ref="K29:L29"/>
    <mergeCell ref="I33:J33"/>
    <mergeCell ref="K27:L27"/>
    <mergeCell ref="D30:H30"/>
    <mergeCell ref="D25:H25"/>
  </mergeCells>
  <pageMargins left="0.7" right="0.7" top="0.75" bottom="0.75" header="0.3" footer="0.3"/>
  <pageSetup fitToHeight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M36"/>
  <sheetViews>
    <sheetView tabSelected="1" workbookViewId="0">
      <selection activeCell="P18" sqref="P18"/>
    </sheetView>
  </sheetViews>
  <sheetFormatPr defaultRowHeight="14.25"/>
  <cols>
    <col min="1" max="1" width="2.75" style="16" customWidth="1"/>
    <col min="2" max="2" width="8" style="16" customWidth="1"/>
    <col min="3" max="3" width="13" style="16" customWidth="1"/>
    <col min="4" max="4" width="24" style="16" customWidth="1"/>
    <col min="5" max="5" width="18" style="16" customWidth="1"/>
    <col min="6" max="13" width="15" style="16" customWidth="1"/>
  </cols>
  <sheetData>
    <row r="2" spans="2:13" ht="18" customHeight="1">
      <c r="B2" s="88" t="s">
        <v>0</v>
      </c>
      <c r="C2" s="53"/>
      <c r="D2" s="82" t="s">
        <v>93</v>
      </c>
      <c r="E2" s="59"/>
      <c r="F2" s="59"/>
      <c r="G2" s="59"/>
      <c r="H2" s="59"/>
      <c r="I2" s="59"/>
      <c r="J2" s="59"/>
      <c r="K2" s="91" t="s">
        <v>73</v>
      </c>
      <c r="L2" s="47"/>
      <c r="M2" s="48"/>
    </row>
    <row r="3" spans="2:13" ht="18" customHeight="1">
      <c r="B3" s="54"/>
      <c r="C3" s="55"/>
      <c r="D3" s="59"/>
      <c r="E3" s="60"/>
      <c r="F3" s="60"/>
      <c r="G3" s="60"/>
      <c r="H3" s="60"/>
      <c r="I3" s="60"/>
      <c r="J3" s="59"/>
      <c r="K3" s="90" t="s">
        <v>3</v>
      </c>
      <c r="L3" s="47"/>
      <c r="M3" s="48"/>
    </row>
    <row r="4" spans="2:13" ht="18" customHeight="1">
      <c r="B4" s="56"/>
      <c r="C4" s="57"/>
      <c r="D4" s="59"/>
      <c r="E4" s="59"/>
      <c r="F4" s="59"/>
      <c r="G4" s="59"/>
      <c r="H4" s="59"/>
      <c r="I4" s="59"/>
      <c r="J4" s="59"/>
      <c r="K4" s="90" t="s">
        <v>190</v>
      </c>
      <c r="L4" s="47"/>
      <c r="M4" s="48"/>
    </row>
    <row r="6" spans="2:13">
      <c r="B6" s="98" t="s">
        <v>60</v>
      </c>
      <c r="C6" s="47"/>
      <c r="D6" s="48"/>
      <c r="E6" s="91" t="s">
        <v>94</v>
      </c>
      <c r="F6" s="47"/>
      <c r="G6" s="48"/>
      <c r="H6" s="103" t="s">
        <v>95</v>
      </c>
      <c r="I6" s="47"/>
      <c r="J6" s="48"/>
      <c r="K6" s="104" t="s">
        <v>64</v>
      </c>
      <c r="L6" s="47"/>
      <c r="M6" s="48"/>
    </row>
    <row r="7" spans="2:13">
      <c r="B7" s="102">
        <v>290304.28000000003</v>
      </c>
      <c r="C7" s="73"/>
      <c r="D7" s="73"/>
      <c r="E7" s="100">
        <v>5540</v>
      </c>
      <c r="F7" s="73"/>
      <c r="G7" s="73"/>
      <c r="H7" s="100">
        <v>14200</v>
      </c>
      <c r="I7" s="73"/>
      <c r="J7" s="73"/>
      <c r="K7" s="99">
        <v>19740</v>
      </c>
      <c r="L7" s="73"/>
      <c r="M7" s="53"/>
    </row>
    <row r="8" spans="2:13">
      <c r="B8" s="56"/>
      <c r="C8" s="74"/>
      <c r="D8" s="74"/>
      <c r="E8" s="74"/>
      <c r="F8" s="74"/>
      <c r="G8" s="74"/>
      <c r="H8" s="74"/>
      <c r="I8" s="74"/>
      <c r="J8" s="74"/>
      <c r="K8" s="74"/>
      <c r="L8" s="74"/>
      <c r="M8" s="57"/>
    </row>
    <row r="10" spans="2:13">
      <c r="B10" s="84" t="s">
        <v>96</v>
      </c>
      <c r="C10" s="48"/>
      <c r="D10" s="78" t="s">
        <v>25</v>
      </c>
      <c r="E10" s="47"/>
      <c r="F10" s="47"/>
      <c r="G10" s="48"/>
      <c r="H10" s="84" t="s">
        <v>13</v>
      </c>
      <c r="I10" s="48"/>
      <c r="J10" s="78" t="s">
        <v>16</v>
      </c>
      <c r="K10" s="47"/>
      <c r="L10" s="47"/>
      <c r="M10" s="48"/>
    </row>
    <row r="12" spans="2:13">
      <c r="B12" s="85" t="s">
        <v>97</v>
      </c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8"/>
    </row>
    <row r="13" spans="2:13">
      <c r="B13" s="11" t="s">
        <v>29</v>
      </c>
      <c r="C13" s="12" t="s">
        <v>30</v>
      </c>
      <c r="D13" s="12" t="s">
        <v>31</v>
      </c>
      <c r="E13" s="12" t="s">
        <v>32</v>
      </c>
      <c r="F13" s="12" t="s">
        <v>76</v>
      </c>
      <c r="G13" s="12" t="s">
        <v>98</v>
      </c>
      <c r="H13" s="12" t="s">
        <v>99</v>
      </c>
      <c r="I13" s="12" t="s">
        <v>100</v>
      </c>
      <c r="J13" s="12" t="s">
        <v>101</v>
      </c>
      <c r="K13" s="13" t="s">
        <v>102</v>
      </c>
      <c r="L13" s="84" t="s">
        <v>36</v>
      </c>
      <c r="M13" s="48"/>
    </row>
    <row r="14" spans="2:13" ht="22.35" customHeight="1">
      <c r="B14" s="6">
        <v>1</v>
      </c>
      <c r="C14" s="7" t="s">
        <v>37</v>
      </c>
      <c r="D14" s="9" t="s">
        <v>38</v>
      </c>
      <c r="E14" s="10" t="s">
        <v>25</v>
      </c>
      <c r="F14" s="34">
        <v>290304.28000000003</v>
      </c>
      <c r="G14" s="35">
        <v>14200</v>
      </c>
      <c r="H14" s="35">
        <v>5540</v>
      </c>
      <c r="I14" s="36">
        <v>19740</v>
      </c>
      <c r="J14" s="37">
        <v>6.7997619601061335E-2</v>
      </c>
      <c r="K14" s="38">
        <v>270564.28000000003</v>
      </c>
      <c r="L14" s="78"/>
      <c r="M14" s="48"/>
    </row>
    <row r="15" spans="2:13" ht="22.35" customHeight="1">
      <c r="B15" s="6"/>
      <c r="C15" s="7"/>
      <c r="D15" s="9"/>
      <c r="E15" s="10"/>
      <c r="F15" s="34"/>
      <c r="G15" s="35"/>
      <c r="H15" s="35"/>
      <c r="I15" s="36"/>
      <c r="J15" s="37"/>
      <c r="K15" s="38"/>
      <c r="L15" s="78"/>
      <c r="M15" s="48"/>
    </row>
    <row r="16" spans="2:13" ht="22.35" customHeight="1">
      <c r="B16" s="6"/>
      <c r="C16" s="7"/>
      <c r="D16" s="9"/>
      <c r="E16" s="10"/>
      <c r="F16" s="34"/>
      <c r="G16" s="35"/>
      <c r="H16" s="35"/>
      <c r="I16" s="36"/>
      <c r="J16" s="37"/>
      <c r="K16" s="38"/>
      <c r="L16" s="78"/>
      <c r="M16" s="48"/>
    </row>
    <row r="17" spans="2:13" ht="22.35" customHeight="1">
      <c r="B17" s="6"/>
      <c r="C17" s="7"/>
      <c r="D17" s="9"/>
      <c r="E17" s="10"/>
      <c r="F17" s="34"/>
      <c r="G17" s="35"/>
      <c r="H17" s="35"/>
      <c r="I17" s="36"/>
      <c r="J17" s="37"/>
      <c r="K17" s="38"/>
      <c r="L17" s="78"/>
      <c r="M17" s="48"/>
    </row>
    <row r="18" spans="2:13" ht="22.35" customHeight="1">
      <c r="B18" s="6"/>
      <c r="C18" s="7"/>
      <c r="D18" s="9"/>
      <c r="E18" s="10"/>
      <c r="F18" s="34"/>
      <c r="G18" s="35"/>
      <c r="H18" s="35"/>
      <c r="I18" s="36"/>
      <c r="J18" s="37"/>
      <c r="K18" s="38"/>
      <c r="L18" s="78"/>
      <c r="M18" s="48"/>
    </row>
    <row r="19" spans="2:13" ht="22.35" customHeight="1">
      <c r="B19" s="6"/>
      <c r="C19" s="7"/>
      <c r="D19" s="9"/>
      <c r="E19" s="10"/>
      <c r="F19" s="34"/>
      <c r="G19" s="35"/>
      <c r="H19" s="35"/>
      <c r="I19" s="36"/>
      <c r="J19" s="37"/>
      <c r="K19" s="38"/>
      <c r="L19" s="78"/>
      <c r="M19" s="48"/>
    </row>
    <row r="20" spans="2:13" ht="22.35" customHeight="1">
      <c r="B20" s="6"/>
      <c r="C20" s="7"/>
      <c r="D20" s="9"/>
      <c r="E20" s="10"/>
      <c r="F20" s="34"/>
      <c r="G20" s="35"/>
      <c r="H20" s="35"/>
      <c r="I20" s="36"/>
      <c r="J20" s="37"/>
      <c r="K20" s="38"/>
      <c r="L20" s="78"/>
      <c r="M20" s="48"/>
    </row>
    <row r="21" spans="2:13" ht="22.35" customHeight="1">
      <c r="B21" s="6"/>
      <c r="C21" s="7"/>
      <c r="D21" s="9"/>
      <c r="E21" s="10"/>
      <c r="F21" s="34"/>
      <c r="G21" s="35"/>
      <c r="H21" s="35"/>
      <c r="I21" s="36"/>
      <c r="J21" s="37"/>
      <c r="K21" s="38"/>
      <c r="L21" s="78"/>
      <c r="M21" s="48"/>
    </row>
    <row r="22" spans="2:13" ht="22.35" customHeight="1">
      <c r="B22" s="6"/>
      <c r="C22" s="7"/>
      <c r="D22" s="9"/>
      <c r="E22" s="10"/>
      <c r="F22" s="34"/>
      <c r="G22" s="35"/>
      <c r="H22" s="35"/>
      <c r="I22" s="36"/>
      <c r="J22" s="37"/>
      <c r="K22" s="38"/>
      <c r="L22" s="78"/>
      <c r="M22" s="48"/>
    </row>
    <row r="23" spans="2:13" ht="22.35" customHeight="1">
      <c r="B23" s="6"/>
      <c r="C23" s="7"/>
      <c r="D23" s="9"/>
      <c r="E23" s="10"/>
      <c r="F23" s="34"/>
      <c r="G23" s="35"/>
      <c r="H23" s="35"/>
      <c r="I23" s="36"/>
      <c r="J23" s="37"/>
      <c r="K23" s="38"/>
      <c r="L23" s="78"/>
      <c r="M23" s="48"/>
    </row>
    <row r="24" spans="2:13">
      <c r="B24" s="96" t="s">
        <v>103</v>
      </c>
      <c r="C24" s="47"/>
      <c r="D24" s="47"/>
      <c r="E24" s="48"/>
      <c r="F24" s="39">
        <f>SUM(F14:F23)</f>
        <v>290304.28000000003</v>
      </c>
      <c r="G24" s="40">
        <f>SUM(G14:G23)</f>
        <v>14200</v>
      </c>
      <c r="H24" s="40">
        <f>SUM(H14:H23)</f>
        <v>5540</v>
      </c>
      <c r="I24" s="41">
        <f>SUM(I14:I23)</f>
        <v>19740</v>
      </c>
      <c r="J24" s="42">
        <f>IFERROR(I24/F24,0)</f>
        <v>6.7997619601061335E-2</v>
      </c>
      <c r="K24" s="43">
        <f>SUM(K14:K23)</f>
        <v>270564.28000000003</v>
      </c>
      <c r="L24" s="96" t="s">
        <v>104</v>
      </c>
      <c r="M24" s="48"/>
    </row>
    <row r="27" spans="2:13">
      <c r="B27" s="77" t="s">
        <v>105</v>
      </c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8"/>
    </row>
    <row r="28" spans="2:13">
      <c r="B28" s="84" t="s">
        <v>60</v>
      </c>
      <c r="C28" s="47"/>
      <c r="D28" s="48"/>
      <c r="E28" s="97">
        <v>290304.28000000003</v>
      </c>
      <c r="F28" s="47"/>
      <c r="G28" s="48"/>
      <c r="H28" s="84" t="s">
        <v>106</v>
      </c>
      <c r="I28" s="47"/>
      <c r="J28" s="48"/>
      <c r="K28" s="97">
        <v>19740</v>
      </c>
      <c r="L28" s="47"/>
      <c r="M28" s="48"/>
    </row>
    <row r="29" spans="2:13">
      <c r="B29" s="84" t="s">
        <v>107</v>
      </c>
      <c r="C29" s="47"/>
      <c r="D29" s="48"/>
      <c r="E29" s="101">
        <v>6.7997619601061335E-2</v>
      </c>
      <c r="F29" s="47"/>
      <c r="G29" s="48"/>
      <c r="H29" s="84" t="s">
        <v>108</v>
      </c>
      <c r="I29" s="47"/>
      <c r="J29" s="48"/>
      <c r="K29" s="97">
        <v>270564.28000000003</v>
      </c>
      <c r="L29" s="47"/>
      <c r="M29" s="48"/>
    </row>
    <row r="30" spans="2:13">
      <c r="B30" s="84" t="s">
        <v>109</v>
      </c>
      <c r="C30" s="47"/>
      <c r="D30" s="48"/>
      <c r="E30" s="97">
        <v>0</v>
      </c>
      <c r="F30" s="47"/>
      <c r="G30" s="48"/>
      <c r="H30" s="84" t="s">
        <v>110</v>
      </c>
      <c r="I30" s="47"/>
      <c r="J30" s="48"/>
      <c r="K30" s="97">
        <v>19740</v>
      </c>
      <c r="L30" s="47"/>
      <c r="M30" s="48"/>
    </row>
    <row r="33" spans="2:13">
      <c r="B33" s="95" t="s">
        <v>111</v>
      </c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53"/>
    </row>
    <row r="34" spans="2:13">
      <c r="B34" s="54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55"/>
    </row>
    <row r="35" spans="2:13">
      <c r="B35" s="54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55"/>
    </row>
    <row r="36" spans="2:13">
      <c r="B36" s="56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57"/>
    </row>
  </sheetData>
  <mergeCells count="45">
    <mergeCell ref="H6:J6"/>
    <mergeCell ref="K6:M6"/>
    <mergeCell ref="K4:M4"/>
    <mergeCell ref="B10:C10"/>
    <mergeCell ref="H30:J30"/>
    <mergeCell ref="K3:M3"/>
    <mergeCell ref="L22:M22"/>
    <mergeCell ref="K30:M30"/>
    <mergeCell ref="H29:J29"/>
    <mergeCell ref="D2:J4"/>
    <mergeCell ref="H7:J8"/>
    <mergeCell ref="L21:M21"/>
    <mergeCell ref="B27:M27"/>
    <mergeCell ref="E29:G29"/>
    <mergeCell ref="K29:M29"/>
    <mergeCell ref="B12:M12"/>
    <mergeCell ref="E7:G8"/>
    <mergeCell ref="B7:D8"/>
    <mergeCell ref="L13:M13"/>
    <mergeCell ref="E6:G6"/>
    <mergeCell ref="B28:D28"/>
    <mergeCell ref="K2:M2"/>
    <mergeCell ref="H28:J28"/>
    <mergeCell ref="B2:C4"/>
    <mergeCell ref="L24:M24"/>
    <mergeCell ref="L18:M18"/>
    <mergeCell ref="L15:M15"/>
    <mergeCell ref="L23:M23"/>
    <mergeCell ref="D10:G10"/>
    <mergeCell ref="L14:M14"/>
    <mergeCell ref="B6:D6"/>
    <mergeCell ref="J10:M10"/>
    <mergeCell ref="K28:M28"/>
    <mergeCell ref="L17:M17"/>
    <mergeCell ref="L16:M16"/>
    <mergeCell ref="H10:I10"/>
    <mergeCell ref="K7:M8"/>
    <mergeCell ref="B33:M36"/>
    <mergeCell ref="B24:E24"/>
    <mergeCell ref="L19:M19"/>
    <mergeCell ref="E30:G30"/>
    <mergeCell ref="B29:D29"/>
    <mergeCell ref="B30:D30"/>
    <mergeCell ref="L20:M20"/>
    <mergeCell ref="E28:G28"/>
  </mergeCells>
  <pageMargins left="0.7" right="0.7" top="0.75" bottom="0.75" header="0.3" footer="0.3"/>
  <pageSetup fitToHeight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58"/>
  <sheetViews>
    <sheetView showGridLines="0" workbookViewId="0"/>
  </sheetViews>
  <sheetFormatPr defaultRowHeight="14.25"/>
  <cols>
    <col min="1" max="1" width="4" style="16" customWidth="1"/>
    <col min="2" max="2" width="23" style="16" customWidth="1"/>
    <col min="3" max="6" width="24" style="16" customWidth="1"/>
    <col min="7" max="7" width="4" style="16" customWidth="1"/>
  </cols>
  <sheetData>
    <row r="2" spans="2:6" ht="27.95" customHeight="1">
      <c r="B2" s="114" t="s">
        <v>112</v>
      </c>
      <c r="C2" s="59"/>
      <c r="D2" s="59"/>
      <c r="E2" s="59"/>
      <c r="F2" s="59"/>
    </row>
    <row r="3" spans="2:6" ht="21.95" customHeight="1">
      <c r="B3" s="118" t="s">
        <v>113</v>
      </c>
      <c r="C3" s="59"/>
      <c r="D3" s="59"/>
      <c r="E3" s="59"/>
      <c r="F3" s="59"/>
    </row>
    <row r="5" spans="2:6" ht="15">
      <c r="B5" s="17" t="s">
        <v>114</v>
      </c>
      <c r="C5" s="18" t="s">
        <v>115</v>
      </c>
      <c r="D5" s="18"/>
      <c r="E5" s="18"/>
      <c r="F5" s="19"/>
    </row>
    <row r="6" spans="2:6" ht="15">
      <c r="B6" s="20" t="s">
        <v>116</v>
      </c>
      <c r="C6" s="110" t="s">
        <v>117</v>
      </c>
      <c r="D6" s="59"/>
      <c r="E6" s="59"/>
      <c r="F6" s="111"/>
    </row>
    <row r="7" spans="2:6" ht="15">
      <c r="B7" s="20" t="s">
        <v>118</v>
      </c>
      <c r="C7" s="110" t="s">
        <v>119</v>
      </c>
      <c r="D7" s="59"/>
      <c r="E7" s="59"/>
      <c r="F7" s="111"/>
    </row>
    <row r="8" spans="2:6" ht="15">
      <c r="B8" s="20" t="s">
        <v>120</v>
      </c>
      <c r="C8" s="110" t="s">
        <v>121</v>
      </c>
      <c r="D8" s="59"/>
      <c r="E8" s="59"/>
      <c r="F8" s="111"/>
    </row>
    <row r="9" spans="2:6" ht="15">
      <c r="B9" s="21" t="s">
        <v>122</v>
      </c>
      <c r="C9" s="115" t="s">
        <v>123</v>
      </c>
      <c r="D9" s="116"/>
      <c r="E9" s="116"/>
      <c r="F9" s="117"/>
    </row>
    <row r="11" spans="2:6" ht="21" customHeight="1">
      <c r="B11" s="113" t="s">
        <v>124</v>
      </c>
      <c r="C11" s="59"/>
      <c r="D11" s="59"/>
      <c r="E11" s="59"/>
      <c r="F11" s="59"/>
    </row>
    <row r="12" spans="2:6" ht="15">
      <c r="B12" s="22" t="s">
        <v>125</v>
      </c>
      <c r="C12" s="23" t="s">
        <v>126</v>
      </c>
      <c r="D12" s="23" t="s">
        <v>127</v>
      </c>
      <c r="E12" s="23"/>
      <c r="F12" s="24"/>
    </row>
    <row r="13" spans="2:6" ht="30" customHeight="1">
      <c r="B13" s="25">
        <v>1</v>
      </c>
      <c r="C13" s="26" t="s">
        <v>128</v>
      </c>
      <c r="D13" s="105" t="s">
        <v>129</v>
      </c>
      <c r="E13" s="59"/>
      <c r="F13" s="106"/>
    </row>
    <row r="14" spans="2:6" ht="30" customHeight="1">
      <c r="B14" s="25">
        <v>2</v>
      </c>
      <c r="C14" s="26" t="s">
        <v>130</v>
      </c>
      <c r="D14" s="105" t="s">
        <v>131</v>
      </c>
      <c r="E14" s="59"/>
      <c r="F14" s="106"/>
    </row>
    <row r="15" spans="2:6" ht="30" customHeight="1">
      <c r="B15" s="25">
        <v>3</v>
      </c>
      <c r="C15" s="26" t="s">
        <v>132</v>
      </c>
      <c r="D15" s="105" t="s">
        <v>133</v>
      </c>
      <c r="E15" s="59"/>
      <c r="F15" s="106"/>
    </row>
    <row r="16" spans="2:6" ht="30" customHeight="1">
      <c r="B16" s="27">
        <v>4</v>
      </c>
      <c r="C16" s="28" t="s">
        <v>134</v>
      </c>
      <c r="D16" s="107" t="s">
        <v>135</v>
      </c>
      <c r="E16" s="108"/>
      <c r="F16" s="109"/>
    </row>
    <row r="18" spans="2:6" ht="21" customHeight="1">
      <c r="B18" s="113" t="s">
        <v>136</v>
      </c>
      <c r="C18" s="59"/>
      <c r="D18" s="59"/>
      <c r="E18" s="59"/>
      <c r="F18" s="59"/>
    </row>
    <row r="19" spans="2:6" ht="15">
      <c r="B19" s="22" t="s">
        <v>137</v>
      </c>
      <c r="C19" s="23" t="s">
        <v>138</v>
      </c>
      <c r="D19" s="23"/>
      <c r="E19" s="23"/>
      <c r="F19" s="24"/>
    </row>
    <row r="20" spans="2:6" ht="30" customHeight="1">
      <c r="B20" s="25">
        <v>1</v>
      </c>
      <c r="C20" s="105" t="s">
        <v>139</v>
      </c>
      <c r="D20" s="59"/>
      <c r="E20" s="59"/>
      <c r="F20" s="106"/>
    </row>
    <row r="21" spans="2:6" ht="30" customHeight="1">
      <c r="B21" s="25">
        <v>2</v>
      </c>
      <c r="C21" s="105" t="s">
        <v>140</v>
      </c>
      <c r="D21" s="59"/>
      <c r="E21" s="59"/>
      <c r="F21" s="106"/>
    </row>
    <row r="22" spans="2:6" ht="30" customHeight="1">
      <c r="B22" s="25">
        <v>3</v>
      </c>
      <c r="C22" s="105" t="s">
        <v>141</v>
      </c>
      <c r="D22" s="59"/>
      <c r="E22" s="59"/>
      <c r="F22" s="106"/>
    </row>
    <row r="23" spans="2:6" ht="30" customHeight="1">
      <c r="B23" s="25">
        <v>4</v>
      </c>
      <c r="C23" s="105" t="s">
        <v>142</v>
      </c>
      <c r="D23" s="59"/>
      <c r="E23" s="59"/>
      <c r="F23" s="106"/>
    </row>
    <row r="24" spans="2:6" ht="30" customHeight="1">
      <c r="B24" s="25">
        <v>5</v>
      </c>
      <c r="C24" s="105" t="s">
        <v>143</v>
      </c>
      <c r="D24" s="59"/>
      <c r="E24" s="59"/>
      <c r="F24" s="106"/>
    </row>
    <row r="25" spans="2:6" ht="30" customHeight="1">
      <c r="B25" s="25">
        <v>6</v>
      </c>
      <c r="C25" s="105" t="s">
        <v>144</v>
      </c>
      <c r="D25" s="59"/>
      <c r="E25" s="59"/>
      <c r="F25" s="106"/>
    </row>
    <row r="26" spans="2:6" ht="30" customHeight="1">
      <c r="B26" s="27">
        <v>7</v>
      </c>
      <c r="C26" s="107" t="s">
        <v>145</v>
      </c>
      <c r="D26" s="108"/>
      <c r="E26" s="108"/>
      <c r="F26" s="109"/>
    </row>
    <row r="28" spans="2:6" ht="21" customHeight="1">
      <c r="B28" s="113" t="s">
        <v>146</v>
      </c>
      <c r="C28" s="59"/>
      <c r="D28" s="59"/>
      <c r="E28" s="59"/>
      <c r="F28" s="59"/>
    </row>
    <row r="29" spans="2:6" ht="15">
      <c r="B29" s="22" t="s">
        <v>7</v>
      </c>
      <c r="C29" s="23" t="s">
        <v>147</v>
      </c>
      <c r="D29" s="23" t="s">
        <v>148</v>
      </c>
      <c r="E29" s="23"/>
      <c r="F29" s="24"/>
    </row>
    <row r="30" spans="2:6" ht="30" customHeight="1">
      <c r="B30" s="29" t="s">
        <v>128</v>
      </c>
      <c r="C30" s="26" t="s">
        <v>149</v>
      </c>
      <c r="D30" s="105" t="s">
        <v>150</v>
      </c>
      <c r="E30" s="59"/>
      <c r="F30" s="106"/>
    </row>
    <row r="31" spans="2:6" ht="30" customHeight="1">
      <c r="B31" s="29" t="s">
        <v>151</v>
      </c>
      <c r="C31" s="26" t="s">
        <v>134</v>
      </c>
      <c r="D31" s="105" t="s">
        <v>152</v>
      </c>
      <c r="E31" s="59"/>
      <c r="F31" s="106"/>
    </row>
    <row r="32" spans="2:6" ht="30" customHeight="1">
      <c r="B32" s="30" t="s">
        <v>128</v>
      </c>
      <c r="C32" s="28" t="s">
        <v>134</v>
      </c>
      <c r="D32" s="107" t="s">
        <v>153</v>
      </c>
      <c r="E32" s="108"/>
      <c r="F32" s="109"/>
    </row>
    <row r="34" spans="2:6" ht="21" customHeight="1">
      <c r="B34" s="113" t="s">
        <v>154</v>
      </c>
      <c r="C34" s="59"/>
      <c r="D34" s="59"/>
      <c r="E34" s="59"/>
      <c r="F34" s="59"/>
    </row>
    <row r="35" spans="2:6" ht="15">
      <c r="B35" s="22" t="s">
        <v>155</v>
      </c>
      <c r="C35" s="23" t="s">
        <v>156</v>
      </c>
      <c r="D35" s="23"/>
      <c r="E35" s="23"/>
      <c r="F35" s="24"/>
    </row>
    <row r="36" spans="2:6" ht="30" customHeight="1">
      <c r="B36" s="29" t="s">
        <v>157</v>
      </c>
      <c r="C36" s="105" t="s">
        <v>158</v>
      </c>
      <c r="D36" s="59"/>
      <c r="E36" s="59"/>
      <c r="F36" s="106"/>
    </row>
    <row r="37" spans="2:6" ht="30" customHeight="1">
      <c r="B37" s="29" t="s">
        <v>159</v>
      </c>
      <c r="C37" s="105" t="s">
        <v>160</v>
      </c>
      <c r="D37" s="59"/>
      <c r="E37" s="59"/>
      <c r="F37" s="106"/>
    </row>
    <row r="38" spans="2:6" ht="30" customHeight="1">
      <c r="B38" s="29" t="s">
        <v>161</v>
      </c>
      <c r="C38" s="105" t="s">
        <v>162</v>
      </c>
      <c r="D38" s="59"/>
      <c r="E38" s="59"/>
      <c r="F38" s="106"/>
    </row>
    <row r="39" spans="2:6" ht="30" customHeight="1">
      <c r="B39" s="30" t="s">
        <v>163</v>
      </c>
      <c r="C39" s="107" t="s">
        <v>164</v>
      </c>
      <c r="D39" s="108"/>
      <c r="E39" s="108"/>
      <c r="F39" s="109"/>
    </row>
    <row r="41" spans="2:6" ht="21" customHeight="1">
      <c r="B41" s="113" t="s">
        <v>165</v>
      </c>
      <c r="C41" s="59"/>
      <c r="D41" s="59"/>
      <c r="E41" s="59"/>
      <c r="F41" s="59"/>
    </row>
    <row r="42" spans="2:6" ht="15">
      <c r="B42" s="22" t="s">
        <v>127</v>
      </c>
      <c r="C42" s="23" t="s">
        <v>166</v>
      </c>
      <c r="D42" s="23"/>
      <c r="E42" s="23"/>
      <c r="F42" s="24"/>
    </row>
    <row r="43" spans="2:6" ht="30" customHeight="1">
      <c r="B43" s="29" t="s">
        <v>167</v>
      </c>
      <c r="C43" s="105" t="s">
        <v>168</v>
      </c>
      <c r="D43" s="59"/>
      <c r="E43" s="59"/>
      <c r="F43" s="106"/>
    </row>
    <row r="44" spans="2:6" ht="30" customHeight="1">
      <c r="B44" s="29" t="s">
        <v>169</v>
      </c>
      <c r="C44" s="105" t="s">
        <v>170</v>
      </c>
      <c r="D44" s="59"/>
      <c r="E44" s="59"/>
      <c r="F44" s="106"/>
    </row>
    <row r="45" spans="2:6" ht="30" customHeight="1">
      <c r="B45" s="29" t="s">
        <v>171</v>
      </c>
      <c r="C45" s="105" t="s">
        <v>172</v>
      </c>
      <c r="D45" s="59"/>
      <c r="E45" s="59"/>
      <c r="F45" s="106"/>
    </row>
    <row r="46" spans="2:6" ht="30" customHeight="1">
      <c r="B46" s="29" t="s">
        <v>173</v>
      </c>
      <c r="C46" s="105" t="s">
        <v>174</v>
      </c>
      <c r="D46" s="59"/>
      <c r="E46" s="59"/>
      <c r="F46" s="106"/>
    </row>
    <row r="47" spans="2:6" ht="30" customHeight="1">
      <c r="B47" s="30" t="s">
        <v>175</v>
      </c>
      <c r="C47" s="107" t="s">
        <v>176</v>
      </c>
      <c r="D47" s="108"/>
      <c r="E47" s="108"/>
      <c r="F47" s="109"/>
    </row>
    <row r="49" spans="2:6">
      <c r="B49" s="112" t="s">
        <v>177</v>
      </c>
      <c r="C49" s="59"/>
      <c r="D49" s="59"/>
      <c r="E49" s="59"/>
      <c r="F49" s="59"/>
    </row>
    <row r="50" spans="2:6">
      <c r="B50" s="59"/>
      <c r="C50" s="59"/>
      <c r="D50" s="59"/>
      <c r="E50" s="59"/>
      <c r="F50" s="59"/>
    </row>
    <row r="51" spans="2:6">
      <c r="B51" t="s">
        <v>178</v>
      </c>
    </row>
    <row r="52" spans="2:6">
      <c r="B52" t="s">
        <v>179</v>
      </c>
      <c r="C52" t="s">
        <v>180</v>
      </c>
    </row>
    <row r="53" spans="2:6">
      <c r="B53" t="s">
        <v>181</v>
      </c>
      <c r="C53">
        <v>1</v>
      </c>
    </row>
    <row r="54" spans="2:6">
      <c r="B54" t="s">
        <v>182</v>
      </c>
      <c r="C54" t="s">
        <v>183</v>
      </c>
    </row>
    <row r="55" spans="2:6">
      <c r="B55" t="s">
        <v>184</v>
      </c>
      <c r="C55" t="s">
        <v>92</v>
      </c>
    </row>
    <row r="56" spans="2:6">
      <c r="B56" t="s">
        <v>185</v>
      </c>
      <c r="C56" t="s">
        <v>186</v>
      </c>
    </row>
    <row r="57" spans="2:6">
      <c r="B57" t="s">
        <v>187</v>
      </c>
      <c r="C57" t="s">
        <v>188</v>
      </c>
    </row>
    <row r="58" spans="2:6">
      <c r="B58" t="s">
        <v>189</v>
      </c>
      <c r="C58" t="s">
        <v>5</v>
      </c>
    </row>
  </sheetData>
  <mergeCells count="35">
    <mergeCell ref="B2:F2"/>
    <mergeCell ref="B11:F11"/>
    <mergeCell ref="C6:F6"/>
    <mergeCell ref="D30:F30"/>
    <mergeCell ref="C24:F24"/>
    <mergeCell ref="D15:F15"/>
    <mergeCell ref="D14:F14"/>
    <mergeCell ref="C20:F20"/>
    <mergeCell ref="C26:F26"/>
    <mergeCell ref="B28:F28"/>
    <mergeCell ref="C25:F25"/>
    <mergeCell ref="C22:F22"/>
    <mergeCell ref="C9:F9"/>
    <mergeCell ref="C21:F21"/>
    <mergeCell ref="B3:F3"/>
    <mergeCell ref="C7:F7"/>
    <mergeCell ref="B49:F50"/>
    <mergeCell ref="C37:F37"/>
    <mergeCell ref="D16:F16"/>
    <mergeCell ref="B18:F18"/>
    <mergeCell ref="C36:F36"/>
    <mergeCell ref="C45:F45"/>
    <mergeCell ref="B34:F34"/>
    <mergeCell ref="C47:F47"/>
    <mergeCell ref="C44:F44"/>
    <mergeCell ref="D31:F31"/>
    <mergeCell ref="C43:F43"/>
    <mergeCell ref="C46:F46"/>
    <mergeCell ref="B41:F41"/>
    <mergeCell ref="D13:F13"/>
    <mergeCell ref="C23:F23"/>
    <mergeCell ref="C39:F39"/>
    <mergeCell ref="C8:F8"/>
    <mergeCell ref="D32:F32"/>
    <mergeCell ref="C38:F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3</vt:i4>
      </vt:variant>
    </vt:vector>
  </HeadingPairs>
  <TitlesOfParts>
    <vt:vector size="7" baseType="lpstr">
      <vt:lpstr>CARREGAMENTO_CUSTO</vt:lpstr>
      <vt:lpstr>OBRA_01</vt:lpstr>
      <vt:lpstr>RESUMO_VALORES</vt:lpstr>
      <vt:lpstr>_LOGICA_SISTEMA</vt:lpstr>
      <vt:lpstr>CARREGAMENTO_CUSTO!Area_de_impressao</vt:lpstr>
      <vt:lpstr>OBRA_01!Area_de_impressao</vt:lpstr>
      <vt:lpstr>RESUMO_VALORES!Area_de_impressao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Projetos JPL</cp:lastModifiedBy>
  <dcterms:created xsi:type="dcterms:W3CDTF">2026-08-13T14:49:12Z</dcterms:created>
  <dcterms:modified xsi:type="dcterms:W3CDTF">2026-08-13T19:52:27Z</dcterms:modified>
</cp:coreProperties>
</file>